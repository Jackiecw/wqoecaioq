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gif" ContentType="image/gif"/>
  <Default Extension="svg" ContentType="image/svg"/>
  <Default Extension="tiff" ContentType="image/tiff"/>
  <Default Extension="emf" ContentType="image/x-emf"/>
  <Default Extension="bmp" ContentType="image/bmp"/>
  <Default Extension="png" ContentType="image/png"/>
  <Default Extension="wmf" ContentType="image/x-w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Adjustment" sheetId="4" r:id="rId4" state="visible"/>
    <sheet name="Shipping Fee Discrepancy" sheetId="5" r:id="rId5" state="visible"/>
    <sheet name="Order Processing Fee" sheetId="6" r:id="rId6" state="visible"/>
  </sheets>
  <definedNames/>
  <calcPr iterateCount="100" iterateDelta="0.001" refMode="A1"/>
</workbook>
</file>

<file path=xl/sharedStrings.xml><?xml version="1.0" encoding="utf-8"?>
<sst xmlns="http://schemas.openxmlformats.org/spreadsheetml/2006/main" count="368" uniqueCount="368">
  <si>
    <t>Income Report</t>
  </si>
  <si>
    <t>Report Details</t>
  </si>
  <si>
    <t>Username (Seller)</t>
  </si>
  <si>
    <t>aviewlux.indonesia</t>
  </si>
  <si>
    <t>From</t>
  </si>
  <si>
    <t>2026-02-01</t>
  </si>
  <si>
    <t>to</t>
  </si>
  <si>
    <t>2026-02-28</t>
  </si>
  <si>
    <t>Income Summary</t>
  </si>
  <si>
    <t>Rp</t>
  </si>
  <si>
    <t>1. Total Revenue</t>
  </si>
  <si>
    <t>Merchandise Subtotal</t>
  </si>
  <si>
    <t>Original product price</t>
  </si>
  <si>
    <t>Your Seller product promotion</t>
  </si>
  <si>
    <t>Refund Amount</t>
  </si>
  <si>
    <t>Voucher &amp; Rebates</t>
  </si>
  <si>
    <t>Rebate Provided by Shopee</t>
  </si>
  <si>
    <t>Voucher Sponsored by Seller</t>
  </si>
  <si>
    <t>Cofund Voucher Sponsored by Seller</t>
  </si>
  <si>
    <t>Coin Cashback Sponsored by Seller</t>
  </si>
  <si>
    <t>Cofund Coin Cashback Sponsored by Seller</t>
  </si>
  <si>
    <t>2. Total Expenses</t>
  </si>
  <si>
    <t>Shipping Subtotal</t>
  </si>
  <si>
    <t>Shipping Fee Paid by Buyer</t>
  </si>
  <si>
    <t>Shipping Fee Discount from 3PL</t>
  </si>
  <si>
    <t>Shipping Rebate From Shopee</t>
  </si>
  <si>
    <t>Actual Shipping Fee</t>
  </si>
  <si>
    <t>Reverse Shipping Fee</t>
  </si>
  <si>
    <t>Saver Programme Shipping Fee Savings</t>
  </si>
  <si>
    <t>Return to Seller Shipping Fee</t>
  </si>
  <si>
    <t>Fees &amp; Charges</t>
  </si>
  <si>
    <t>AMS Commission Fee</t>
  </si>
  <si>
    <t>Commission fee (including PPN 10%)</t>
  </si>
  <si>
    <t>Service Fee</t>
  </si>
  <si>
    <t>Seller Order Processing Fee</t>
  </si>
  <si>
    <t>Premium</t>
  </si>
  <si>
    <t>Shipping Fee Saver Program</t>
  </si>
  <si>
    <t>Transaction Fee</t>
  </si>
  <si>
    <t>Campaign Fee</t>
  </si>
  <si>
    <t>Ads Escrow Top Up Fee</t>
  </si>
  <si>
    <t>3. Total Released Amount</t>
  </si>
  <si>
    <t>Other Reference Values</t>
  </si>
  <si>
    <t>Shipping Fee Promotion by Seller</t>
  </si>
  <si>
    <t>subtotal(Rp)</t>
  </si>
  <si>
    <t>Sequence No.</t>
  </si>
  <si>
    <t>Order ID</t>
  </si>
  <si>
    <t>refund id</t>
  </si>
  <si>
    <t>Username (Buyer)</t>
  </si>
  <si>
    <t>Order Creation Date</t>
  </si>
  <si>
    <t>Buyer Payment Method</t>
  </si>
  <si>
    <t>Payout Completed Date</t>
  </si>
  <si>
    <t>Custom Tax</t>
  </si>
  <si>
    <t>Total Released Amount (Rp)</t>
  </si>
  <si>
    <t>Voucher Code From Seller</t>
  </si>
  <si>
    <t>Lost Compensation</t>
  </si>
  <si>
    <t>Shipping provider</t>
  </si>
  <si>
    <t>Courier Name</t>
  </si>
  <si>
    <t>Cash refund to buyer amount</t>
  </si>
  <si>
    <t>Pro-rated coin offset for return refund Items</t>
  </si>
  <si>
    <t>Pro-rated Shopee voucher offset for returned items</t>
  </si>
  <si>
    <t>Pro-rated Bank Payment Channel Promotion  for return refund Items</t>
  </si>
  <si>
    <t>Pro-rated Shopee Payment Channel Promotion  for return refund Items</t>
  </si>
  <si>
    <t>260129BH434KKJ</t>
  </si>
  <si>
    <t>jusdinar</t>
  </si>
  <si>
    <t>2026-01-29</t>
  </si>
  <si>
    <t>Cash on Delivery</t>
  </si>
  <si>
    <t>Reguler</t>
  </si>
  <si>
    <t>SPX Standard</t>
  </si>
  <si>
    <t>260129B69FWK83</t>
  </si>
  <si>
    <t>elindasyahni</t>
  </si>
  <si>
    <t>Online Payment</t>
  </si>
  <si>
    <t>2026-02-03</t>
  </si>
  <si>
    <t>SPX Hemat</t>
  </si>
  <si>
    <t>26012888R3XDN7</t>
  </si>
  <si>
    <t>ningsihwendin</t>
  </si>
  <si>
    <t>2026-01-28</t>
  </si>
  <si>
    <t>2026-02-04</t>
  </si>
  <si>
    <t>260201J6CC736J</t>
  </si>
  <si>
    <t>27eaedmo0y</t>
  </si>
  <si>
    <t>Hemat Kargo</t>
  </si>
  <si>
    <t>Anteraja Economy</t>
  </si>
  <si>
    <t>260131FT8S8DDJ</t>
  </si>
  <si>
    <t>jenosalen</t>
  </si>
  <si>
    <t>2026-01-31</t>
  </si>
  <si>
    <t>2026-02-05</t>
  </si>
  <si>
    <t>260130D7WP9NDM</t>
  </si>
  <si>
    <t>keniswijo</t>
  </si>
  <si>
    <t>2026-01-30</t>
  </si>
  <si>
    <t>SVC-1330224475553792</t>
  </si>
  <si>
    <t>260205VGMSBM47</t>
  </si>
  <si>
    <t>febrijoseph627</t>
  </si>
  <si>
    <t>Credit / Debit Card</t>
  </si>
  <si>
    <t>2026-02-06</t>
  </si>
  <si>
    <t>AVIEAVIE2</t>
  </si>
  <si>
    <t>Gosend Instant</t>
  </si>
  <si>
    <t>260204T0M6N8GS</t>
  </si>
  <si>
    <t>iesleyla</t>
  </si>
  <si>
    <t>ShopeePay Balance</t>
  </si>
  <si>
    <t>AVIEINPU2</t>
  </si>
  <si>
    <t>260202N7AMYN5X</t>
  </si>
  <si>
    <t>janesatuya</t>
  </si>
  <si>
    <t>2026-02-02</t>
  </si>
  <si>
    <t>Anteraja Reguler</t>
  </si>
  <si>
    <t>2601287TDGT2MJ</t>
  </si>
  <si>
    <t>nanafbrynt</t>
  </si>
  <si>
    <t>2026-02-07</t>
  </si>
  <si>
    <t>AVIEAVI7</t>
  </si>
  <si>
    <t>260204S5VRC7Q8</t>
  </si>
  <si>
    <t>tl.fishing</t>
  </si>
  <si>
    <t>260203QDQ1SSV5</t>
  </si>
  <si>
    <t>rumonobsunarto</t>
  </si>
  <si>
    <t>260201JMH3GFKV</t>
  </si>
  <si>
    <t>mohd_zamzami</t>
  </si>
  <si>
    <t>2026-02-08</t>
  </si>
  <si>
    <t>260204T29KKDKU</t>
  </si>
  <si>
    <t>balqisnisa212</t>
  </si>
  <si>
    <t>2026-02-09</t>
  </si>
  <si>
    <t>260205VJ7R68WK</t>
  </si>
  <si>
    <t>saricitra150</t>
  </si>
  <si>
    <t>2026-02-10</t>
  </si>
  <si>
    <t>260210BYB4S9SD</t>
  </si>
  <si>
    <t>pyrite21</t>
  </si>
  <si>
    <t>2026-02-11</t>
  </si>
  <si>
    <t>Instant</t>
  </si>
  <si>
    <t>SPX Instant</t>
  </si>
  <si>
    <t>260206239X1QCS</t>
  </si>
  <si>
    <t>kaliafagna67</t>
  </si>
  <si>
    <t>2602074WR2CKHB</t>
  </si>
  <si>
    <t>umikulsumm05</t>
  </si>
  <si>
    <t>2026-02-12</t>
  </si>
  <si>
    <t>260211EYCCMDMH</t>
  </si>
  <si>
    <t>logistic.id</t>
  </si>
  <si>
    <t>SPayLater</t>
  </si>
  <si>
    <t>SVC-1348281212878848</t>
  </si>
  <si>
    <t>2602087E76EQ1K</t>
  </si>
  <si>
    <t>nuramelia2610</t>
  </si>
  <si>
    <t>2602074D1YJ6FY</t>
  </si>
  <si>
    <t>anitamaya321</t>
  </si>
  <si>
    <t>260201JNQMJU06</t>
  </si>
  <si>
    <t>nabilaabdurrahman837</t>
  </si>
  <si>
    <t>260213HSHD3AFS</t>
  </si>
  <si>
    <t>sitinovitasari12345</t>
  </si>
  <si>
    <t>2026-02-13</t>
  </si>
  <si>
    <t>260203QV5PMA3S</t>
  </si>
  <si>
    <t>aminahzein1303</t>
  </si>
  <si>
    <t>26020618T8R5KA</t>
  </si>
  <si>
    <t>alwyura01</t>
  </si>
  <si>
    <t>QRIS</t>
  </si>
  <si>
    <t>Instant Prioritas</t>
  </si>
  <si>
    <t>SPX Instant Prioritas</t>
  </si>
  <si>
    <t>260205UM57B649</t>
  </si>
  <si>
    <t>ellaramadhani1702</t>
  </si>
  <si>
    <t>260210BXDSEERS</t>
  </si>
  <si>
    <t>yulipateli</t>
  </si>
  <si>
    <t>2026-02-14</t>
  </si>
  <si>
    <t>2602087G88BW3S</t>
  </si>
  <si>
    <t>rendis.i.kom</t>
  </si>
  <si>
    <t>260213HV09EQRA</t>
  </si>
  <si>
    <t>solehaspro</t>
  </si>
  <si>
    <t>260205UP2SNBBJ</t>
  </si>
  <si>
    <t>amie.zainal</t>
  </si>
  <si>
    <t>260211DD6A4E8J</t>
  </si>
  <si>
    <t>iftialvidiansari</t>
  </si>
  <si>
    <t>2026-02-16</t>
  </si>
  <si>
    <t>260212H27KCH3V</t>
  </si>
  <si>
    <t>gitakurniadi</t>
  </si>
  <si>
    <t>260215QXQ7TV82</t>
  </si>
  <si>
    <t>iwistau</t>
  </si>
  <si>
    <t>2026-02-15</t>
  </si>
  <si>
    <t>260215R2G7TTB2</t>
  </si>
  <si>
    <t>26020998YCVXJ2</t>
  </si>
  <si>
    <t>adrwenhas</t>
  </si>
  <si>
    <t>2026-02-17</t>
  </si>
  <si>
    <t>SiCepat REG</t>
  </si>
  <si>
    <t>260213JG9H70D7</t>
  </si>
  <si>
    <t>santo2811</t>
  </si>
  <si>
    <t>2602097U3GKKRY</t>
  </si>
  <si>
    <t>madeanton07</t>
  </si>
  <si>
    <t>2026-02-18</t>
  </si>
  <si>
    <t>260215PT87VF7G</t>
  </si>
  <si>
    <t>jr091292</t>
  </si>
  <si>
    <t>ID Express</t>
  </si>
  <si>
    <t>260217W2044MGW</t>
  </si>
  <si>
    <t>samueljohan23</t>
  </si>
  <si>
    <t>2602098YK9BFF9</t>
  </si>
  <si>
    <t>7vqj_r9r5f</t>
  </si>
  <si>
    <t>260216U9YRA1K5</t>
  </si>
  <si>
    <t>dewiulwiyah626</t>
  </si>
  <si>
    <t>2026-02-19</t>
  </si>
  <si>
    <t>260212GFFPWMQX</t>
  </si>
  <si>
    <t>mchlgs</t>
  </si>
  <si>
    <t>260213K6P4B3Y2</t>
  </si>
  <si>
    <t>kapten.djau</t>
  </si>
  <si>
    <t>260210BRNMNXTH</t>
  </si>
  <si>
    <t>slv2901</t>
  </si>
  <si>
    <t>260215QV19E6E9</t>
  </si>
  <si>
    <t>bumi_outdoor</t>
  </si>
  <si>
    <t>260209A08YVKCX</t>
  </si>
  <si>
    <t>marlia_shop</t>
  </si>
  <si>
    <t>260216UBD4PP2T</t>
  </si>
  <si>
    <t>hanayajalindraputri</t>
  </si>
  <si>
    <t>260203QB0J7MBU</t>
  </si>
  <si>
    <t>yuliastore2233</t>
  </si>
  <si>
    <t>SeaBank Bayar Instan</t>
  </si>
  <si>
    <t>2602182UVR07NY</t>
  </si>
  <si>
    <t>momskitchenjakarta</t>
  </si>
  <si>
    <t>2026-02-20</t>
  </si>
  <si>
    <t>260213JJ4FKNKP</t>
  </si>
  <si>
    <t>murid21</t>
  </si>
  <si>
    <t>2602193SWDQSVD</t>
  </si>
  <si>
    <t>iqbaldzi13</t>
  </si>
  <si>
    <t>2026-02-21</t>
  </si>
  <si>
    <t>260210BN7HRXM3</t>
  </si>
  <si>
    <t>ambar_setiyawan</t>
  </si>
  <si>
    <t>260216SF0C23Q0</t>
  </si>
  <si>
    <t>nengahtirta758</t>
  </si>
  <si>
    <t>260213M4S6BNJV</t>
  </si>
  <si>
    <t>suratiprima</t>
  </si>
  <si>
    <t>260216TP0RJMMX</t>
  </si>
  <si>
    <t>titienmaryantisr</t>
  </si>
  <si>
    <t>SiCepat Halu</t>
  </si>
  <si>
    <t>260222CHUAAP02</t>
  </si>
  <si>
    <t>naufallatief22</t>
  </si>
  <si>
    <t>2026-02-22</t>
  </si>
  <si>
    <t>SVC-1348282840399876</t>
  </si>
  <si>
    <t>260215RCNF6AAH</t>
  </si>
  <si>
    <t>bl4ckck</t>
  </si>
  <si>
    <t>2602183PA8R123</t>
  </si>
  <si>
    <t>iwan_kmk</t>
  </si>
  <si>
    <t>260211DJ27RKYN</t>
  </si>
  <si>
    <t>cahyo_rjc</t>
  </si>
  <si>
    <t>2602182M2TH7T5</t>
  </si>
  <si>
    <t>jhf9r3r_kh</t>
  </si>
  <si>
    <t>260216TW057NEC</t>
  </si>
  <si>
    <t>puputnurfathia25</t>
  </si>
  <si>
    <t>2602207QDSJ3BQ</t>
  </si>
  <si>
    <t>andtycku</t>
  </si>
  <si>
    <t>2026-02-23</t>
  </si>
  <si>
    <t>260222C11XK9F0</t>
  </si>
  <si>
    <t>260214PKH1CGBU</t>
  </si>
  <si>
    <t>hendri.burki</t>
  </si>
  <si>
    <t>260214NPJDSAF8</t>
  </si>
  <si>
    <t>gruzzmj9qg</t>
  </si>
  <si>
    <t>2602208D6XUHF5</t>
  </si>
  <si>
    <t>fathannuhi</t>
  </si>
  <si>
    <t>Next Day</t>
  </si>
  <si>
    <t>Sicepat BEST</t>
  </si>
  <si>
    <t>260216UT11CK4U</t>
  </si>
  <si>
    <t>netronjenalnetron</t>
  </si>
  <si>
    <t>2602208DX2W321</t>
  </si>
  <si>
    <t>djanuarp</t>
  </si>
  <si>
    <t>2026-02-24</t>
  </si>
  <si>
    <t>260216TJA20X79</t>
  </si>
  <si>
    <t>evanzwijaya</t>
  </si>
  <si>
    <t>260222CY1YB35M</t>
  </si>
  <si>
    <t>cutzuchriyah</t>
  </si>
  <si>
    <t>260222CHQNY26X</t>
  </si>
  <si>
    <t>dzr9psnh__</t>
  </si>
  <si>
    <t>2602194MPUVKHV</t>
  </si>
  <si>
    <t>henrynurkusumawardani</t>
  </si>
  <si>
    <t>GoSend Instant Prioritas</t>
  </si>
  <si>
    <t>2602194GXHXJU5</t>
  </si>
  <si>
    <t>aurelchandra069</t>
  </si>
  <si>
    <t>2602193VHWCGGT</t>
  </si>
  <si>
    <t>taufaneka46</t>
  </si>
  <si>
    <t>260222CQJQ7QFK</t>
  </si>
  <si>
    <t>bilippo</t>
  </si>
  <si>
    <t>2026-02-25</t>
  </si>
  <si>
    <t>26021823JA34RT</t>
  </si>
  <si>
    <t>andar_imam</t>
  </si>
  <si>
    <t>260221AASSCR7C</t>
  </si>
  <si>
    <t>adewafarmpalembang</t>
  </si>
  <si>
    <t>26021951MTEH61</t>
  </si>
  <si>
    <t>nelsonsgh</t>
  </si>
  <si>
    <t>Ninja Xpress</t>
  </si>
  <si>
    <t>260215S4TS7775</t>
  </si>
  <si>
    <t>rezasurin</t>
  </si>
  <si>
    <t>260222CS2KSVJE</t>
  </si>
  <si>
    <t>agusmiawan</t>
  </si>
  <si>
    <t>2602183A8RWKHM</t>
  </si>
  <si>
    <t>keanuagll</t>
  </si>
  <si>
    <t>2026-02-26</t>
  </si>
  <si>
    <t>260225M976KCTE</t>
  </si>
  <si>
    <t>fransiskus0812</t>
  </si>
  <si>
    <t>260216TQEBNKH5</t>
  </si>
  <si>
    <t>joannessugiheruyono</t>
  </si>
  <si>
    <t>260217027KVNFR</t>
  </si>
  <si>
    <t>ariyantodjaafar313</t>
  </si>
  <si>
    <t>260223F1Q4EJVQ</t>
  </si>
  <si>
    <t>salesop11</t>
  </si>
  <si>
    <t>260203R7UV1N9H</t>
  </si>
  <si>
    <t>rismasyarif324</t>
  </si>
  <si>
    <t>260216TUC53XKX</t>
  </si>
  <si>
    <t>hendriyokho</t>
  </si>
  <si>
    <t>2602206KGG2SKD</t>
  </si>
  <si>
    <t>8liyq_69sq</t>
  </si>
  <si>
    <t>2026-02-27</t>
  </si>
  <si>
    <t>260222D5DB4RF1</t>
  </si>
  <si>
    <t>benkbudia</t>
  </si>
  <si>
    <t>260224JSVADE9D</t>
  </si>
  <si>
    <t>qkemi_kids</t>
  </si>
  <si>
    <t>260225JW1C81RS</t>
  </si>
  <si>
    <t>sonnyharison</t>
  </si>
  <si>
    <t>2602196416W7DX</t>
  </si>
  <si>
    <t>eld_world</t>
  </si>
  <si>
    <t>260226PRUK9W8F</t>
  </si>
  <si>
    <t>anggunssanthoso</t>
  </si>
  <si>
    <t>26021702NHAE31</t>
  </si>
  <si>
    <t>dnnv88</t>
  </si>
  <si>
    <t>260224JFPKN0T6</t>
  </si>
  <si>
    <t>raditya_p2407</t>
  </si>
  <si>
    <t>260228UKRQR1W8</t>
  </si>
  <si>
    <t>ramadhandyy</t>
  </si>
  <si>
    <t>260221AB3RTFUG</t>
  </si>
  <si>
    <t>fariz_151</t>
  </si>
  <si>
    <t>2602207TN4UV3X</t>
  </si>
  <si>
    <t>sonniutama</t>
  </si>
  <si>
    <t>2602206EFCGKYG</t>
  </si>
  <si>
    <t>chrizst</t>
  </si>
  <si>
    <t>260222CMQ6G2AA</t>
  </si>
  <si>
    <t>idariani293</t>
  </si>
  <si>
    <t>260227SSPM33JG</t>
  </si>
  <si>
    <t>d0dy5</t>
  </si>
  <si>
    <t>2602194S8KCETK</t>
  </si>
  <si>
    <t>nrr_ocb86e</t>
  </si>
  <si>
    <t>Biaya Layanan Promo XTRA</t>
  </si>
  <si>
    <t>Biaya Layanan Promo XTRA+</t>
  </si>
  <si>
    <t>Biaya Layanan Shopee Live XTRA</t>
  </si>
  <si>
    <t>Biaya Pembayaran</t>
  </si>
  <si>
    <t>Note:
1) All adjustments paid during period (Please note that only adjustments made after 1 Jan 2022 will be provided here)
2) All adjustments completed in this settlement period may be linked to past released orders or to-be-released orders, refer to the associated Order No. for more details</t>
  </si>
  <si>
    <t>Summary of Order Adjustment</t>
  </si>
  <si>
    <t>Total Adjustment Amount</t>
  </si>
  <si>
    <t>Kompensasi atas pesanan hilang</t>
  </si>
  <si>
    <t>Details of Adjustment Transaction List</t>
  </si>
  <si>
    <t>Adjustment Complete Date</t>
  </si>
  <si>
    <t>Adjustment Type | Description</t>
  </si>
  <si>
    <t>Adjustment Reason</t>
  </si>
  <si>
    <t>Adjustment Amount</t>
  </si>
  <si>
    <t>Linked Order No.</t>
  </si>
  <si>
    <t>2602207B54WSVJ</t>
  </si>
  <si>
    <t>Total Amount</t>
  </si>
  <si>
    <t>Note:
1) This sheet displays orders where the Shipping Fee Charged by Logistic Provider is higher than expected
2) The Expected Shipping Fee is calculated during checkout based on various factors including your listed weight, and pickup/delivery address.
3) The Actual Shipping Fee is the fee that is charged by the logistic provider
4) You are encouraged to update your listed weight and/or pickup address if the discrepancy reason is due to weight difference or address difference</t>
  </si>
  <si>
    <t>Expected Shipping Fee:</t>
  </si>
  <si>
    <t>Actual Shipping Fee Charged by Logistic Provider:</t>
  </si>
  <si>
    <t>Discrepancy reason</t>
  </si>
  <si>
    <t>Potential reason: Seller has requested for an offline change of address or purchased insurance from logistic provider</t>
  </si>
  <si>
    <t>Potential reason: Actual product weight is higher than listed product weight</t>
  </si>
  <si>
    <t>View By</t>
  </si>
  <si>
    <t>Product ID</t>
  </si>
  <si>
    <t>Product Name</t>
  </si>
  <si>
    <t>Seller Order Processing Fee per SKU (Prorated by item price in an order)</t>
  </si>
  <si>
    <t>Order</t>
  </si>
  <si>
    <t>-</t>
  </si>
  <si>
    <t>Sku</t>
  </si>
  <si>
    <t>AVIEWLUX Tripod Proyektor Mini Universal Stand Projector Desktop Dudukan Proyektor Kokoh Rotasi 360°</t>
  </si>
  <si>
    <t>Kartu Garansi (Jangan melakukan pemesanan)</t>
  </si>
  <si>
    <t>AVIEWLUX NEXO Mini Proyektor 1080P 500 ANSI - WiFi 6 BT 5.2 - Screen Mirroring iPhone Android - Gimbal 360° Portable - --Sealed Engine Anti Debu Home Theater Projector</t>
  </si>
  <si>
    <t>AVIEWLUX VEGA Pro Smart Proyektor LCD - Android 9 - 4K Full HD 1080P - 700 ANSI - WiFi 6 - Bluetooth 5.2 - Auto Focus Keystone - HiFi Sound Projector</t>
  </si>
  <si>
    <t>AVIEWLUX NEXO Pro Smart Proyektor Gimbal - Android TV 9 - 500 ANSI 1080P FHD - Optical Engine Kedap Debu - WiFi 6 Bluetooth 5.2 - Auto Focus - Projector Portable</t>
  </si>
  <si>
    <t>AVIEWLUX AERO Smart LCD Proyektor - Android 11 - 400 ANSI -  1080P Decoding - WiFi 5 &amp; Bluetooth -  Netflix &amp; YouTube -  Mini Projector Portable</t>
  </si>
  <si>
    <t>AVIEWLUX NEXO Mini Proyektor 1080P 500 ANSI - WiFi 6 BT 5.2 - Screen Mirroring iPhone Android - Gimbal 360° Portable - Sealed Engine Anti Debu Home Theater Projector</t>
  </si>
  <si>
    <t>Kartu Garansi (Jangan melakukan pemesanan)-1</t>
  </si>
  <si>
    <t>AVIEWLUX Layar Proyektor Portable 100 Inch 16:9 - Simple Screen - Projector Screen Portable Original</t>
  </si>
  <si>
    <t>AVIEWLUX AURA Max Smart Proyektor - SUPER TERANG - FHD 1080P - 4K Support - Resmi Netflix - Android 13 - Auto Focus - Full Sealed Engine - Projector</t>
  </si>
  <si>
    <t>AVIEWLUX NEXO Mini Proyektor 1080P 500 ANSI - WiFi 6 BT 5.22- Screen Mirroring iPhone Android - Gimbal 360° Portable - Sealed Engine Anti Debu Home Theater Projector</t>
  </si>
  <si>
    <t>AVIEWLUX Layar Proyektor Portabel 100 Inch 16:9 - Anti Light HD 4K - Gray Anti-Glare (Hanya Layar)</t>
  </si>
  <si>
    <t>AVIEWLUX Remote Control Proyektor - Universal Remote - Infrared-1</t>
  </si>
  <si>
    <t>AVIEWLUX NEO Smart Proyektor LCD - Netflix Resmi Certified - 1080P Full HD - Android TV 13 - 500 ANSI - WiFi 6 &amp; Bluetooth 5.2 - Gimbal 360° Portable Projector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</si>
</sst>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xl/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c r="B9" s="9" t="s"/>
      <c r="C9" s="9" t="s"/>
      <c r="D9" s="9" t="s"/>
    </row>
    <row r="10" ht="20.4" customHeight="true">
      <c r="A10" s="10" t="s">
        <v>8</v>
      </c>
      <c r="B10" s="10" t="s"/>
      <c r="C10" s="10" t="s"/>
      <c r="D10" s="10" t="s">
        <v>9</v>
      </c>
    </row>
    <row r="11">
      <c r="A11" s="11" t="s">
        <v>10</v>
      </c>
      <c r="B11" s="11" t="s"/>
      <c r="C11" s="11" t="s"/>
      <c r="D11" s="11">
        <v>53424994</v>
      </c>
    </row>
    <row r="12">
      <c r="A12" s="12" t="s">
        <v>11</v>
      </c>
      <c r="B12" s="12" t="s"/>
      <c r="C12" s="12" t="s"/>
      <c r="D12" s="12">
        <v>55048950</v>
      </c>
    </row>
    <row r="13">
      <c r="A13" s="13" t="s"/>
      <c r="B13" s="13" t="s">
        <v>12</v>
      </c>
      <c r="C13" s="13">
        <v>115779252</v>
      </c>
      <c r="D13" s="13" t="s"/>
    </row>
    <row r="14">
      <c r="A14" s="13" t="s"/>
      <c r="B14" s="13" t="s">
        <v>13</v>
      </c>
      <c r="C14" s="13">
        <v>-59508302</v>
      </c>
      <c r="D14" s="13" t="s"/>
    </row>
    <row r="15">
      <c r="A15" s="13" t="s"/>
      <c r="B15" s="13" t="s">
        <v>14</v>
      </c>
      <c r="C15" s="13">
        <v>-1222000</v>
      </c>
      <c r="D15" s="13" t="s"/>
    </row>
    <row r="16">
      <c r="A16" s="13" t="s"/>
      <c r="B16" s="13" t="s"/>
      <c r="C16" s="13" t="s"/>
      <c r="D16" s="13" t="s"/>
    </row>
    <row r="17">
      <c r="A17" s="12" t="s">
        <v>15</v>
      </c>
      <c r="B17" s="12" t="s"/>
      <c r="C17" s="12" t="s"/>
      <c r="D17" s="12">
        <v>-1623956</v>
      </c>
    </row>
    <row r="18">
      <c r="A18" s="13" t="s"/>
      <c r="B18" s="13" t="s">
        <v>16</v>
      </c>
      <c r="C18" s="13">
        <v>0</v>
      </c>
      <c r="D18" s="13" t="s"/>
    </row>
    <row r="19">
      <c r="A19" s="13" t="s"/>
      <c r="B19" s="13" t="s">
        <v>17</v>
      </c>
      <c r="C19" s="13">
        <v>-1623956</v>
      </c>
      <c r="D19" s="13" t="s"/>
    </row>
    <row r="20">
      <c r="A20" s="13" t="s"/>
      <c r="B20" s="13" t="s">
        <v>18</v>
      </c>
      <c r="C20" s="13">
        <v>0</v>
      </c>
      <c r="D20" s="13" t="s"/>
    </row>
    <row r="21">
      <c r="A21" s="13" t="s"/>
      <c r="B21" s="13" t="s">
        <v>19</v>
      </c>
      <c r="C21" s="13">
        <v>0</v>
      </c>
      <c r="D21" s="13" t="s"/>
    </row>
    <row r="22">
      <c r="A22" s="13" t="s"/>
      <c r="B22" s="13" t="s">
        <v>20</v>
      </c>
      <c r="C22" s="13">
        <v>0</v>
      </c>
      <c r="D22" s="13" t="s"/>
    </row>
    <row r="23">
      <c r="A23" s="2" t="s"/>
      <c r="B23" s="13" t="s"/>
      <c r="C23" s="13" t="s"/>
      <c r="D23" s="13" t="s"/>
    </row>
    <row r="24">
      <c r="A24" s="11" t="s">
        <v>21</v>
      </c>
      <c r="B24" s="11" t="s"/>
      <c r="C24" s="11" t="s"/>
      <c r="D24" s="11">
        <v>-7073957</v>
      </c>
    </row>
    <row r="25">
      <c r="A25" s="12" t="s">
        <v>22</v>
      </c>
      <c r="B25" s="12" t="s"/>
      <c r="C25" s="12" t="s"/>
      <c r="D25" s="12">
        <v>-71300</v>
      </c>
    </row>
    <row r="26">
      <c r="A26" s="13" t="s"/>
      <c r="B26" s="13" t="s">
        <v>23</v>
      </c>
      <c r="C26" s="13">
        <v>497600</v>
      </c>
      <c r="D26" s="13" t="s"/>
    </row>
    <row r="27">
      <c r="A27" s="13" t="s"/>
      <c r="B27" s="13" t="s">
        <v>24</v>
      </c>
      <c r="C27" s="13">
        <v>0</v>
      </c>
      <c r="D27" s="13" t="s"/>
    </row>
    <row r="28">
      <c r="A28" s="13" t="s"/>
      <c r="B28" s="13" t="s">
        <v>25</v>
      </c>
      <c r="C28" s="13">
        <v>2199299</v>
      </c>
      <c r="D28" s="13" t="s"/>
    </row>
    <row r="29">
      <c r="A29" s="13" t="s"/>
      <c r="B29" s="13" t="s">
        <v>26</v>
      </c>
      <c r="C29" s="13">
        <v>-2747499</v>
      </c>
      <c r="D29" s="13" t="s"/>
    </row>
    <row r="30">
      <c r="A30" s="13" t="s"/>
      <c r="B30" s="13" t="s">
        <v>27</v>
      </c>
      <c r="C30" s="13">
        <v>-20700</v>
      </c>
      <c r="D30" s="13" t="s"/>
    </row>
    <row r="31">
      <c r="A31" s="13" t="s"/>
      <c r="B31" s="13" t="s">
        <v>28</v>
      </c>
      <c r="C31" s="13">
        <v>0</v>
      </c>
      <c r="D31" s="13" t="s"/>
    </row>
    <row r="32">
      <c r="A32" s="13" t="s"/>
      <c r="B32" s="13" t="s">
        <v>29</v>
      </c>
      <c r="C32" s="13">
        <v>0</v>
      </c>
      <c r="D32" s="13" t="s"/>
    </row>
    <row r="33">
      <c r="A33" s="13" t="s"/>
      <c r="B33" s="13" t="s"/>
      <c r="C33" s="13" t="s"/>
      <c r="D33" s="13" t="s"/>
    </row>
    <row r="34">
      <c r="A34" s="12" t="s">
        <v>30</v>
      </c>
      <c r="B34" s="12" t="s"/>
      <c r="C34" s="12" t="s"/>
      <c r="D34" s="12">
        <v>-7002657</v>
      </c>
    </row>
    <row r="35">
      <c r="A35" s="13" t="s"/>
      <c r="B35" s="13" t="s">
        <v>31</v>
      </c>
      <c r="C35" s="13">
        <v>-818700</v>
      </c>
      <c r="D35" s="13" t="s"/>
    </row>
    <row r="36">
      <c r="A36" s="13" t="s"/>
      <c r="B36" s="13" t="s">
        <v>32</v>
      </c>
      <c r="C36" s="13">
        <v>-2272508</v>
      </c>
      <c r="D36" s="13" t="s"/>
    </row>
    <row r="37">
      <c r="A37" s="13" t="s"/>
      <c r="B37" s="13" t="s">
        <v>33</v>
      </c>
      <c r="C37" s="13">
        <v>-3619471</v>
      </c>
      <c r="D37" s="13" t="s"/>
    </row>
    <row r="38">
      <c r="A38" s="13" t="s"/>
      <c r="B38" s="13" t="s">
        <v>34</v>
      </c>
      <c r="C38" s="13">
        <v>-125000</v>
      </c>
      <c r="D38" s="13" t="s"/>
    </row>
    <row r="39">
      <c r="A39" s="13" t="s"/>
      <c r="B39" s="13" t="s">
        <v>35</v>
      </c>
      <c r="C39" s="13">
        <v>0</v>
      </c>
      <c r="D39" s="13" t="s"/>
    </row>
    <row r="40">
      <c r="A40" s="13" t="s"/>
      <c r="B40" s="13" t="s">
        <v>36</v>
      </c>
      <c r="C40" s="13">
        <v>0</v>
      </c>
      <c r="D40" s="13" t="s"/>
    </row>
    <row r="41">
      <c r="A41" s="13" t="s"/>
      <c r="B41" s="13" t="s">
        <v>37</v>
      </c>
      <c r="C41" s="13">
        <v>-166978</v>
      </c>
      <c r="D41" s="13" t="s"/>
    </row>
    <row r="42">
      <c r="A42" s="13" t="s"/>
      <c r="B42" s="13" t="s">
        <v>38</v>
      </c>
      <c r="C42" s="13">
        <v>0</v>
      </c>
      <c r="D42" s="13" t="s"/>
    </row>
    <row r="43">
      <c r="A43" s="13" t="s"/>
      <c r="B43" s="13" t="s">
        <v>39</v>
      </c>
      <c r="C43" s="13">
        <v>0</v>
      </c>
      <c r="D43" s="13" t="s"/>
    </row>
    <row r="44">
      <c r="A44" s="13" t="s"/>
      <c r="B44" s="13" t="s"/>
      <c r="C44" s="13" t="s"/>
      <c r="D44" s="13" t="s"/>
    </row>
    <row r="45">
      <c r="A45" s="13" t="s"/>
      <c r="B45" s="13" t="s"/>
      <c r="C45" s="13" t="s"/>
      <c r="D45" s="13" t="s"/>
    </row>
    <row r="46">
      <c r="A46" s="2" t="s"/>
      <c r="B46" s="13" t="s"/>
      <c r="C46" s="13" t="s"/>
      <c r="D46" s="13" t="s"/>
    </row>
    <row r="47"/>
    <row r="48">
      <c r="A48" s="14" t="s">
        <v>40</v>
      </c>
      <c r="B48" s="14" t="s"/>
      <c r="C48" s="14" t="s"/>
      <c r="D48" s="14">
        <v>46351037</v>
      </c>
    </row>
    <row r="49">
      <c r="A49" s="1" t="s"/>
    </row>
    <row r="50">
      <c r="A50" s="14" t="s">
        <v>41</v>
      </c>
      <c r="B50" s="14" t="s"/>
      <c r="C50" s="14" t="s"/>
      <c r="D50" s="14" t="s"/>
    </row>
    <row r="51">
      <c r="A51" s="15" t="s">
        <v>42</v>
      </c>
      <c r="B51" s="15" t="s"/>
      <c r="C51" s="15" t="s"/>
      <c r="D51" s="15">
        <v>0</v>
      </c>
    </row>
    <row r="52" ht="14.4" customHeight="true">
      <c r="A52" s="16" t="s"/>
    </row>
    <row r="53">
      <c r="A53" s="13" t="s"/>
      <c r="B53" s="16" t="s"/>
      <c r="C53" s="16" t="s"/>
      <c r="D53" s="16" t="s"/>
    </row>
    <row r="54">
      <c r="A54" s="16"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13" t="s"/>
      <c r="C62" s="13" t="s"/>
      <c r="D62" s="13" t="s"/>
    </row>
    <row r="63">
      <c r="A63" s="13" t="s"/>
      <c r="B63" s="13" t="s"/>
      <c r="C63" s="13" t="s"/>
      <c r="D63" s="13" t="s"/>
    </row>
    <row r="64">
      <c r="A64" s="13" t="s"/>
      <c r="B64" s="13" t="s"/>
      <c r="C64" s="13" t="s"/>
      <c r="D64" s="13" t="s"/>
    </row>
    <row r="65">
      <c r="A65" s="13" t="s"/>
      <c r="B65" s="16" t="s"/>
      <c r="C65" s="16" t="s"/>
      <c r="D65" s="16" t="s"/>
    </row>
    <row r="66">
      <c r="A66" s="16" t="s"/>
      <c r="B66" s="13" t="s"/>
      <c r="C66" s="13" t="s"/>
      <c r="D66" s="13" t="s"/>
    </row>
    <row r="67">
      <c r="A67" s="13" t="s"/>
      <c r="B67" s="13" t="s"/>
      <c r="C67" s="13" t="s"/>
      <c r="D67" s="13" t="s"/>
    </row>
    <row r="68">
      <c r="A68" s="13" t="s"/>
      <c r="B68" s="13" t="s"/>
      <c r="C68" s="13" t="s"/>
      <c r="D68" s="13" t="s"/>
    </row>
    <row r="69">
      <c r="A69" s="13" t="s"/>
      <c r="B69" s="16" t="s"/>
      <c r="C69" s="16" t="s"/>
      <c r="D69" s="13" t="s"/>
    </row>
    <row r="70">
      <c r="A70" s="16" t="s"/>
      <c r="B70" s="16" t="s"/>
      <c r="C70" s="16" t="s"/>
      <c r="D70" s="16" t="s"/>
    </row>
    <row r="71">
      <c r="A71" s="16" t="s"/>
      <c r="B71" s="13" t="s"/>
      <c r="C71" s="13" t="s"/>
      <c r="D71" s="13" t="s"/>
    </row>
    <row r="72">
      <c r="A72" s="13" t="s"/>
      <c r="B72" s="13" t="s"/>
      <c r="C72" s="13" t="s"/>
      <c r="D72" s="13" t="s"/>
    </row>
    <row r="73">
      <c r="A73" s="13" t="s"/>
      <c r="B73" s="13" t="s"/>
      <c r="C73" s="13" t="s"/>
      <c r="D73" s="13" t="s"/>
    </row>
    <row r="74">
      <c r="A74" s="13" t="s"/>
      <c r="B74" s="13" t="s"/>
      <c r="C74" s="13" t="s"/>
      <c r="D74" s="13" t="s"/>
    </row>
    <row r="75">
      <c r="A75" s="13" t="s"/>
      <c r="B75" s="16" t="s"/>
      <c r="C75" s="16" t="s"/>
      <c r="D75" s="16" t="s"/>
    </row>
    <row r="76">
      <c r="A76" s="16" t="s"/>
      <c r="B76" s="13" t="s"/>
      <c r="C76" s="13" t="s"/>
      <c r="D76" s="13" t="s"/>
    </row>
    <row r="77">
      <c r="A77" s="13" t="s"/>
      <c r="B77" s="13" t="s"/>
      <c r="C77" s="13" t="s"/>
      <c r="D77" s="13" t="s"/>
    </row>
    <row r="78">
      <c r="A78" s="13" t="s"/>
      <c r="B78" s="13" t="s"/>
      <c r="C78" s="13" t="s"/>
      <c r="D78" s="13" t="s"/>
    </row>
    <row r="79">
      <c r="A79" s="13" t="s"/>
      <c r="B79" s="13" t="s"/>
      <c r="C79" s="13" t="s"/>
      <c r="D79" s="13" t="s"/>
    </row>
    <row r="80">
      <c r="A80" s="13" t="s"/>
      <c r="B80" s="16" t="s"/>
      <c r="C80" s="16" t="s"/>
      <c r="D80" s="16" t="s"/>
    </row>
    <row r="81">
      <c r="A81" s="16" t="s"/>
      <c r="B81" s="13" t="s"/>
      <c r="C81" s="13" t="s"/>
      <c r="D81" s="13" t="s"/>
    </row>
    <row r="82">
      <c r="A82" s="13" t="s"/>
      <c r="B82" s="13" t="s"/>
      <c r="C82" s="13" t="s"/>
      <c r="D82" s="13" t="s"/>
    </row>
    <row r="83">
      <c r="A83" s="13" t="s"/>
      <c r="B83" s="13" t="s"/>
      <c r="C83" s="13" t="s"/>
      <c r="D83" s="13" t="s"/>
    </row>
    <row r="84">
      <c r="A84" s="13" t="s"/>
      <c r="B84" s="16" t="s"/>
      <c r="C84" s="16" t="s"/>
      <c r="D84" s="16" t="s"/>
    </row>
    <row r="85">
      <c r="A85" s="16" t="s"/>
      <c r="B85" s="13" t="s"/>
      <c r="C85" s="13" t="s"/>
      <c r="D85" s="13" t="s"/>
    </row>
    <row r="86">
      <c r="A86" s="13" t="s"/>
      <c r="B86" s="16" t="s"/>
      <c r="C86" s="16" t="s"/>
      <c r="D86" s="16" t="s"/>
    </row>
    <row r="87">
      <c r="A87" s="16" t="s"/>
      <c r="B87" s="13" t="s"/>
      <c r="C87" s="13" t="s"/>
      <c r="D87" s="13" t="s"/>
    </row>
    <row r="88">
      <c r="A88" s="13" t="s"/>
      <c r="B88" s="16" t="s"/>
      <c r="C88" s="16" t="s"/>
      <c r="D88" s="16" t="s"/>
    </row>
    <row r="89">
      <c r="A89" s="16" t="s"/>
      <c r="B89" s="13" t="s"/>
      <c r="C89" s="13" t="s"/>
      <c r="D89" s="13" t="s"/>
    </row>
    <row r="90">
      <c r="A90" s="13" t="s"/>
      <c r="B90" s="16" t="s"/>
      <c r="C90" s="16" t="s"/>
      <c r="D90" s="16" t="s"/>
    </row>
    <row r="91">
      <c r="A91" s="16" t="s"/>
      <c r="B91" s="13" t="s"/>
      <c r="C91" s="13" t="s"/>
      <c r="D91" s="13" t="s"/>
    </row>
    <row r="92">
      <c r="A92" s="13" t="s"/>
      <c r="B92" s="13" t="s"/>
      <c r="C92" s="13" t="s"/>
      <c r="D92" s="13" t="s"/>
    </row>
    <row r="93">
      <c r="A93" s="13" t="s"/>
      <c r="B93" s="13" t="s"/>
      <c r="C93" s="13" t="s"/>
      <c r="D93" s="13" t="s"/>
    </row>
    <row r="94">
      <c r="A94" s="13"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R108"/>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44" min="4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44" min="44"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44" min="44" style="2" width="10" customWidth="true"/>
  </cols>
  <sheetData>
    <row r="1">
      <c r="A1" s="13" t="s">
        <v>2</v>
      </c>
      <c r="B1" s="13" t="s">
        <v>4</v>
      </c>
      <c r="C1" s="13" t="s">
        <v>6</v>
      </c>
    </row>
    <row r="2">
      <c r="A2" s="13" t="s">
        <v>3</v>
      </c>
      <c r="B2" s="13" t="s">
        <v>5</v>
      </c>
      <c r="C2" s="13" t="s">
        <v>7</v>
      </c>
    </row>
    <row r="3">
      <c r="A3" s="13" t="s"/>
    </row>
    <row r="4"/>
    <row r="5">
      <c r="A5" s="17" t="s">
        <v>43</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f>=SUM(INDIRECT(ADDRESS(6,19)):INDIRECT(ADDRESS(1048576,19)))</f>
      </c>
      <c r="T5" s="17">
        <f>=SUM(INDIRECT(ADDRESS(6,20)):INDIRECT(ADDRESS(1048576,20)))</f>
      </c>
      <c r="U5" s="17">
        <f>=SUM(INDIRECT(ADDRESS(6,21)):INDIRECT(ADDRESS(1048576,21)))</f>
      </c>
      <c r="V5" s="17">
        <f>=SUM(INDIRECT(ADDRESS(6,22)):INDIRECT(ADDRESS(1048576,22)))</f>
      </c>
      <c r="W5" s="17" t="s"/>
      <c r="X5" s="17">
        <f>=SUM(INDIRECT(ADDRESS(6,24)):INDIRECT(ADDRESS(1048576,24)))</f>
      </c>
      <c r="Y5" s="17">
        <f>=SUM(INDIRECT(ADDRESS(6,25)):INDIRECT(ADDRESS(1048576,25)))</f>
      </c>
      <c r="Z5" s="17">
        <f>=SUM(INDIRECT(ADDRESS(6,26)):INDIRECT(ADDRESS(1048576,26)))</f>
      </c>
      <c r="AA5" s="17">
        <f>=SUM(INDIRECT(ADDRESS(6,27)):INDIRECT(ADDRESS(1048576,27)))</f>
      </c>
      <c r="AB5" s="17">
        <f>=SUM(INDIRECT(ADDRESS(6,28)):INDIRECT(ADDRESS(1048576,28)))</f>
      </c>
      <c r="AC5" s="17">
        <f>=SUM(INDIRECT(ADDRESS(6,29)):INDIRECT(ADDRESS(1048576,29)))</f>
      </c>
      <c r="AD5" s="17">
        <f>=SUM(INDIRECT(ADDRESS(6,30)):INDIRECT(ADDRESS(1048576,30)))</f>
      </c>
      <c r="AE5" s="17">
        <f>=SUM(INDIRECT(ADDRESS(6,31)):INDIRECT(ADDRESS(1048576,31)))</f>
      </c>
      <c r="AF5" s="17">
        <f>=SUM(INDIRECT(ADDRESS(6,32)):INDIRECT(ADDRESS(1048576,32)))</f>
      </c>
      <c r="AG5" s="17">
        <f>=SUM(INDIRECT(ADDRESS(6,33)):INDIRECT(ADDRESS(1048576,33)))</f>
      </c>
      <c r="AH5" s="17" t="s"/>
      <c r="AI5" s="17">
        <f>=SUM(INDIRECT(ADDRESS(6,35)):INDIRECT(ADDRESS(1048576,35)))</f>
      </c>
      <c r="AJ5" s="17">
        <f>=SUM(INDIRECT(ADDRESS(6,36)):INDIRECT(ADDRESS(1048576,36)))</f>
      </c>
      <c r="AK5" s="17" t="s"/>
      <c r="AL5" s="17" t="s"/>
      <c r="AM5" s="17" t="s"/>
      <c r="AN5" s="17">
        <f>=SUM(INDIRECT(ADDRESS(6,40)):INDIRECT(ADDRESS(1048576,40)))</f>
      </c>
      <c r="AO5" s="17">
        <f>=SUM(INDIRECT(ADDRESS(6,41)):INDIRECT(ADDRESS(1048576,41)))</f>
      </c>
      <c r="AP5" s="17">
        <f>=SUM(INDIRECT(ADDRESS(6,42)):INDIRECT(ADDRESS(1048576,42)))</f>
      </c>
      <c r="AQ5" s="17">
        <f>=SUM(INDIRECT(ADDRESS(6,43)):INDIRECT(ADDRESS(1048576,43)))</f>
      </c>
      <c r="AR5" s="17">
        <f>=SUM(INDIRECT(ADDRESS(6,44)):INDIRECT(ADDRESS(1048576,44)))</f>
      </c>
    </row>
    <row r="6">
      <c r="A6" s="17" t="s">
        <v>44</v>
      </c>
      <c r="B6" s="17" t="s">
        <v>45</v>
      </c>
      <c r="C6" s="17" t="s">
        <v>46</v>
      </c>
      <c r="D6" s="17" t="s">
        <v>47</v>
      </c>
      <c r="E6" s="17" t="s">
        <v>48</v>
      </c>
      <c r="F6" s="17" t="s">
        <v>49</v>
      </c>
      <c r="G6" s="17" t="s">
        <v>50</v>
      </c>
      <c r="H6" s="17" t="s">
        <v>12</v>
      </c>
      <c r="I6" s="17" t="s">
        <v>13</v>
      </c>
      <c r="J6" s="17" t="s">
        <v>14</v>
      </c>
      <c r="K6" s="17" t="s">
        <v>16</v>
      </c>
      <c r="L6" s="17" t="s">
        <v>17</v>
      </c>
      <c r="M6" s="17" t="s">
        <v>18</v>
      </c>
      <c r="N6" s="17" t="s">
        <v>19</v>
      </c>
      <c r="O6" s="17" t="s">
        <v>20</v>
      </c>
      <c r="P6" s="17" t="s">
        <v>23</v>
      </c>
      <c r="Q6" s="17" t="s">
        <v>24</v>
      </c>
      <c r="R6" s="17" t="s">
        <v>25</v>
      </c>
      <c r="S6" s="17" t="s">
        <v>26</v>
      </c>
      <c r="T6" s="17" t="s">
        <v>27</v>
      </c>
      <c r="U6" s="17" t="s">
        <v>29</v>
      </c>
      <c r="V6" s="17" t="s">
        <v>28</v>
      </c>
      <c r="W6" s="17" t="s">
        <v>31</v>
      </c>
      <c r="X6" s="17" t="s">
        <v>32</v>
      </c>
      <c r="Y6" s="17" t="s">
        <v>33</v>
      </c>
      <c r="Z6" s="17" t="s">
        <v>34</v>
      </c>
      <c r="AA6" s="17" t="s">
        <v>35</v>
      </c>
      <c r="AB6" s="17" t="s">
        <v>36</v>
      </c>
      <c r="AC6" s="17" t="s">
        <v>37</v>
      </c>
      <c r="AD6" s="17" t="s">
        <v>38</v>
      </c>
      <c r="AE6" s="17" t="s">
        <v>51</v>
      </c>
      <c r="AF6" s="17" t="s">
        <v>39</v>
      </c>
      <c r="AG6" s="17" t="s">
        <v>52</v>
      </c>
      <c r="AH6" s="17" t="s">
        <v>53</v>
      </c>
      <c r="AI6" s="17" t="s">
        <v>54</v>
      </c>
      <c r="AJ6" s="17" t="s">
        <v>42</v>
      </c>
      <c r="AK6" s="17" t="s">
        <v>55</v>
      </c>
      <c r="AL6" s="17" t="s">
        <v>56</v>
      </c>
      <c r="AM6" s="17" t="s"/>
      <c r="AN6" s="17" t="s">
        <v>57</v>
      </c>
      <c r="AO6" s="17" t="s">
        <v>58</v>
      </c>
      <c r="AP6" s="17" t="s">
        <v>59</v>
      </c>
      <c r="AQ6" s="17" t="s">
        <v>60</v>
      </c>
      <c r="AR6" s="17" t="s">
        <v>61</v>
      </c>
    </row>
    <row r="7">
      <c r="A7" s="17">
        <v>1</v>
      </c>
      <c r="B7" s="17" t="s">
        <v>62</v>
      </c>
      <c r="C7" s="17" t="s"/>
      <c r="D7" s="17" t="s">
        <v>63</v>
      </c>
      <c r="E7" s="17" t="s">
        <v>64</v>
      </c>
      <c r="F7" s="17" t="s">
        <v>65</v>
      </c>
      <c r="G7" s="17" t="s">
        <v>5</v>
      </c>
      <c r="H7" s="17">
        <v>48000</v>
      </c>
      <c r="I7" s="17">
        <v>-24000</v>
      </c>
      <c r="J7" s="17">
        <v>0</v>
      </c>
      <c r="K7" s="17">
        <v>0</v>
      </c>
      <c r="L7" s="17">
        <v>0</v>
      </c>
      <c r="M7" s="17">
        <v>0</v>
      </c>
      <c r="N7" s="17">
        <v>0</v>
      </c>
      <c r="O7" s="17">
        <v>0</v>
      </c>
      <c r="P7" s="17">
        <v>0</v>
      </c>
      <c r="Q7" s="17">
        <v>0</v>
      </c>
      <c r="R7" s="17">
        <v>6500</v>
      </c>
      <c r="S7" s="17">
        <v>-6500</v>
      </c>
      <c r="T7" s="17">
        <v>0</v>
      </c>
      <c r="U7" s="17">
        <v>0</v>
      </c>
      <c r="V7" s="17">
        <v>0</v>
      </c>
      <c r="W7" s="17">
        <v>0</v>
      </c>
      <c r="X7" s="17">
        <v>-1260</v>
      </c>
      <c r="Y7" s="17">
        <v>-1080</v>
      </c>
      <c r="Z7" s="17">
        <v>-1250</v>
      </c>
      <c r="AA7" s="17">
        <v>0</v>
      </c>
      <c r="AB7" s="17">
        <v>0</v>
      </c>
      <c r="AC7" s="17">
        <v>0</v>
      </c>
      <c r="AD7" s="17">
        <v>0</v>
      </c>
      <c r="AE7" s="17">
        <v>0</v>
      </c>
      <c r="AF7" s="17">
        <v>0</v>
      </c>
      <c r="AG7" s="17">
        <v>20410</v>
      </c>
      <c r="AH7" s="17" t="s"/>
      <c r="AI7" s="17">
        <v>0</v>
      </c>
      <c r="AJ7" s="17">
        <v>0</v>
      </c>
      <c r="AK7" s="17" t="s">
        <v>66</v>
      </c>
      <c r="AL7" s="17" t="s">
        <v>67</v>
      </c>
      <c r="AM7" s="17" t="s"/>
      <c r="AN7" s="17">
        <v>0</v>
      </c>
      <c r="AO7" s="17">
        <v>0</v>
      </c>
      <c r="AP7" s="17">
        <v>0</v>
      </c>
      <c r="AQ7" s="17">
        <v>0</v>
      </c>
      <c r="AR7" s="17">
        <v>0</v>
      </c>
    </row>
    <row r="8">
      <c r="A8" s="17">
        <v>2</v>
      </c>
      <c r="B8" s="17" t="s">
        <v>68</v>
      </c>
      <c r="C8" s="17" t="s"/>
      <c r="D8" s="17" t="s">
        <v>69</v>
      </c>
      <c r="E8" s="17" t="s">
        <v>64</v>
      </c>
      <c r="F8" s="17" t="s">
        <v>70</v>
      </c>
      <c r="G8" s="17" t="s">
        <v>71</v>
      </c>
      <c r="H8" s="17">
        <v>11195</v>
      </c>
      <c r="I8" s="17">
        <v>0</v>
      </c>
      <c r="J8" s="17">
        <v>0</v>
      </c>
      <c r="K8" s="17">
        <v>0</v>
      </c>
      <c r="L8" s="17">
        <v>0</v>
      </c>
      <c r="M8" s="17">
        <v>0</v>
      </c>
      <c r="N8" s="17">
        <v>0</v>
      </c>
      <c r="O8" s="17">
        <v>0</v>
      </c>
      <c r="P8" s="17">
        <v>3100</v>
      </c>
      <c r="Q8" s="17">
        <v>0</v>
      </c>
      <c r="R8" s="17">
        <v>0</v>
      </c>
      <c r="S8" s="17">
        <v>-3400</v>
      </c>
      <c r="T8" s="17">
        <v>0</v>
      </c>
      <c r="U8" s="17">
        <v>0</v>
      </c>
      <c r="V8" s="17">
        <v>0</v>
      </c>
      <c r="W8" s="17">
        <v>0</v>
      </c>
      <c r="X8" s="17">
        <v>-588</v>
      </c>
      <c r="Y8" s="17">
        <v>-504</v>
      </c>
      <c r="Z8" s="17">
        <v>-1250</v>
      </c>
      <c r="AA8" s="17">
        <v>0</v>
      </c>
      <c r="AB8" s="17">
        <v>0</v>
      </c>
      <c r="AC8" s="17">
        <v>0</v>
      </c>
      <c r="AD8" s="17">
        <v>0</v>
      </c>
      <c r="AE8" s="17">
        <v>0</v>
      </c>
      <c r="AF8" s="17">
        <v>0</v>
      </c>
      <c r="AG8" s="17">
        <v>8553</v>
      </c>
      <c r="AH8" s="17" t="s"/>
      <c r="AI8" s="17">
        <v>0</v>
      </c>
      <c r="AJ8" s="17">
        <v>0</v>
      </c>
      <c r="AK8" s="17" t="s">
        <v>72</v>
      </c>
      <c r="AL8" s="17" t="s">
        <v>72</v>
      </c>
      <c r="AM8" s="17" t="s"/>
      <c r="AN8" s="17">
        <v>0</v>
      </c>
      <c r="AO8" s="17">
        <v>0</v>
      </c>
      <c r="AP8" s="17">
        <v>0</v>
      </c>
      <c r="AQ8" s="17">
        <v>0</v>
      </c>
      <c r="AR8" s="17">
        <v>0</v>
      </c>
    </row>
    <row r="9">
      <c r="A9" s="17">
        <v>3</v>
      </c>
      <c r="B9" s="17" t="s">
        <v>73</v>
      </c>
      <c r="C9" s="17" t="s"/>
      <c r="D9" s="17" t="s">
        <v>74</v>
      </c>
      <c r="E9" s="17" t="s">
        <v>75</v>
      </c>
      <c r="F9" s="17" t="s">
        <v>70</v>
      </c>
      <c r="G9" s="17" t="s">
        <v>76</v>
      </c>
      <c r="H9" s="17">
        <v>11195</v>
      </c>
      <c r="I9" s="17">
        <v>0</v>
      </c>
      <c r="J9" s="17">
        <v>0</v>
      </c>
      <c r="K9" s="17">
        <v>0</v>
      </c>
      <c r="L9" s="17">
        <v>0</v>
      </c>
      <c r="M9" s="17">
        <v>0</v>
      </c>
      <c r="N9" s="17">
        <v>0</v>
      </c>
      <c r="O9" s="17">
        <v>0</v>
      </c>
      <c r="P9" s="17">
        <v>0</v>
      </c>
      <c r="Q9" s="17">
        <v>0</v>
      </c>
      <c r="R9" s="17">
        <v>3400</v>
      </c>
      <c r="S9" s="17">
        <v>-3400</v>
      </c>
      <c r="T9" s="17">
        <v>0</v>
      </c>
      <c r="U9" s="17">
        <v>0</v>
      </c>
      <c r="V9" s="17">
        <v>0</v>
      </c>
      <c r="W9" s="17">
        <v>0</v>
      </c>
      <c r="X9" s="17">
        <v>-588</v>
      </c>
      <c r="Y9" s="17">
        <v>-504</v>
      </c>
      <c r="Z9" s="17">
        <v>-1250</v>
      </c>
      <c r="AA9" s="17">
        <v>0</v>
      </c>
      <c r="AB9" s="17">
        <v>0</v>
      </c>
      <c r="AC9" s="17">
        <v>0</v>
      </c>
      <c r="AD9" s="17">
        <v>0</v>
      </c>
      <c r="AE9" s="17">
        <v>0</v>
      </c>
      <c r="AF9" s="17">
        <v>0</v>
      </c>
      <c r="AG9" s="17">
        <v>8853</v>
      </c>
      <c r="AH9" s="17" t="s"/>
      <c r="AI9" s="17">
        <v>0</v>
      </c>
      <c r="AJ9" s="17">
        <v>0</v>
      </c>
      <c r="AK9" s="17" t="s">
        <v>72</v>
      </c>
      <c r="AL9" s="17" t="s">
        <v>72</v>
      </c>
      <c r="AM9" s="17" t="s"/>
      <c r="AN9" s="17">
        <v>0</v>
      </c>
      <c r="AO9" s="17">
        <v>0</v>
      </c>
      <c r="AP9" s="17">
        <v>0</v>
      </c>
      <c r="AQ9" s="17">
        <v>0</v>
      </c>
      <c r="AR9" s="17">
        <v>0</v>
      </c>
    </row>
    <row r="10">
      <c r="A10" s="17">
        <v>4</v>
      </c>
      <c r="B10" s="17" t="s">
        <v>77</v>
      </c>
      <c r="C10" s="17" t="s"/>
      <c r="D10" s="17" t="s">
        <v>78</v>
      </c>
      <c r="E10" s="17" t="s">
        <v>5</v>
      </c>
      <c r="F10" s="17" t="s">
        <v>65</v>
      </c>
      <c r="G10" s="17" t="s">
        <v>76</v>
      </c>
      <c r="H10" s="17">
        <v>48000</v>
      </c>
      <c r="I10" s="17">
        <v>-24000</v>
      </c>
      <c r="J10" s="17">
        <v>0</v>
      </c>
      <c r="K10" s="17">
        <v>0</v>
      </c>
      <c r="L10" s="17">
        <v>0</v>
      </c>
      <c r="M10" s="17">
        <v>0</v>
      </c>
      <c r="N10" s="17">
        <v>0</v>
      </c>
      <c r="O10" s="17">
        <v>0</v>
      </c>
      <c r="P10" s="17">
        <v>0</v>
      </c>
      <c r="Q10" s="17">
        <v>0</v>
      </c>
      <c r="R10" s="17">
        <v>5000</v>
      </c>
      <c r="S10" s="17">
        <v>-5000</v>
      </c>
      <c r="T10" s="17">
        <v>0</v>
      </c>
      <c r="U10" s="17">
        <v>0</v>
      </c>
      <c r="V10" s="17">
        <v>0</v>
      </c>
      <c r="W10" s="17">
        <v>0</v>
      </c>
      <c r="X10" s="17">
        <v>-1260</v>
      </c>
      <c r="Y10" s="17">
        <v>-1080</v>
      </c>
      <c r="Z10" s="17">
        <v>-1250</v>
      </c>
      <c r="AA10" s="17">
        <v>0</v>
      </c>
      <c r="AB10" s="17">
        <v>0</v>
      </c>
      <c r="AC10" s="17">
        <v>0</v>
      </c>
      <c r="AD10" s="17">
        <v>0</v>
      </c>
      <c r="AE10" s="17">
        <v>0</v>
      </c>
      <c r="AF10" s="17">
        <v>0</v>
      </c>
      <c r="AG10" s="17">
        <v>20410</v>
      </c>
      <c r="AH10" s="17" t="s"/>
      <c r="AI10" s="17">
        <v>0</v>
      </c>
      <c r="AJ10" s="17">
        <v>0</v>
      </c>
      <c r="AK10" s="17" t="s">
        <v>79</v>
      </c>
      <c r="AL10" s="17" t="s">
        <v>80</v>
      </c>
      <c r="AM10" s="17" t="s"/>
      <c r="AN10" s="17">
        <v>0</v>
      </c>
      <c r="AO10" s="17">
        <v>0</v>
      </c>
      <c r="AP10" s="17">
        <v>0</v>
      </c>
      <c r="AQ10" s="17">
        <v>0</v>
      </c>
      <c r="AR10" s="17">
        <v>0</v>
      </c>
    </row>
    <row r="11">
      <c r="A11" s="17">
        <v>5</v>
      </c>
      <c r="B11" s="17" t="s">
        <v>81</v>
      </c>
      <c r="C11" s="17" t="s"/>
      <c r="D11" s="17" t="s">
        <v>82</v>
      </c>
      <c r="E11" s="17" t="s">
        <v>83</v>
      </c>
      <c r="F11" s="17" t="s">
        <v>70</v>
      </c>
      <c r="G11" s="17" t="s">
        <v>84</v>
      </c>
      <c r="H11" s="17">
        <v>11195</v>
      </c>
      <c r="I11" s="17">
        <v>0</v>
      </c>
      <c r="J11" s="17">
        <v>0</v>
      </c>
      <c r="K11" s="17">
        <v>0</v>
      </c>
      <c r="L11" s="17">
        <v>0</v>
      </c>
      <c r="M11" s="17">
        <v>0</v>
      </c>
      <c r="N11" s="17">
        <v>0</v>
      </c>
      <c r="O11" s="17">
        <v>0</v>
      </c>
      <c r="P11" s="17">
        <v>0</v>
      </c>
      <c r="Q11" s="17">
        <v>0</v>
      </c>
      <c r="R11" s="17">
        <v>3400</v>
      </c>
      <c r="S11" s="17">
        <v>-3400</v>
      </c>
      <c r="T11" s="17">
        <v>0</v>
      </c>
      <c r="U11" s="17">
        <v>0</v>
      </c>
      <c r="V11" s="17">
        <v>0</v>
      </c>
      <c r="W11" s="17">
        <v>0</v>
      </c>
      <c r="X11" s="17">
        <v>-1008</v>
      </c>
      <c r="Y11" s="17">
        <v>-504</v>
      </c>
      <c r="Z11" s="17">
        <v>-1250</v>
      </c>
      <c r="AA11" s="17">
        <v>0</v>
      </c>
      <c r="AB11" s="17">
        <v>0</v>
      </c>
      <c r="AC11" s="17">
        <v>0</v>
      </c>
      <c r="AD11" s="17">
        <v>0</v>
      </c>
      <c r="AE11" s="17">
        <v>0</v>
      </c>
      <c r="AF11" s="17">
        <v>0</v>
      </c>
      <c r="AG11" s="17">
        <v>8433</v>
      </c>
      <c r="AH11" s="17" t="s"/>
      <c r="AI11" s="17">
        <v>0</v>
      </c>
      <c r="AJ11" s="17">
        <v>0</v>
      </c>
      <c r="AK11" s="17" t="s">
        <v>72</v>
      </c>
      <c r="AL11" s="17" t="s">
        <v>72</v>
      </c>
      <c r="AM11" s="17" t="s"/>
      <c r="AN11" s="17">
        <v>0</v>
      </c>
      <c r="AO11" s="17">
        <v>0</v>
      </c>
      <c r="AP11" s="17">
        <v>0</v>
      </c>
      <c r="AQ11" s="17">
        <v>0</v>
      </c>
      <c r="AR11" s="17">
        <v>0</v>
      </c>
    </row>
    <row r="12">
      <c r="A12" s="17">
        <v>6</v>
      </c>
      <c r="B12" s="17" t="s">
        <v>85</v>
      </c>
      <c r="C12" s="17" t="s"/>
      <c r="D12" s="17" t="s">
        <v>86</v>
      </c>
      <c r="E12" s="17" t="s">
        <v>87</v>
      </c>
      <c r="F12" s="17" t="s">
        <v>70</v>
      </c>
      <c r="G12" s="17" t="s">
        <v>84</v>
      </c>
      <c r="H12" s="17">
        <v>11195</v>
      </c>
      <c r="I12" s="17">
        <v>0</v>
      </c>
      <c r="J12" s="17">
        <v>0</v>
      </c>
      <c r="K12" s="17">
        <v>0</v>
      </c>
      <c r="L12" s="17">
        <v>-8956</v>
      </c>
      <c r="M12" s="17">
        <v>0</v>
      </c>
      <c r="N12" s="17">
        <v>0</v>
      </c>
      <c r="O12" s="17">
        <v>0</v>
      </c>
      <c r="P12" s="17">
        <v>0</v>
      </c>
      <c r="Q12" s="17">
        <v>0</v>
      </c>
      <c r="R12" s="17">
        <v>5700</v>
      </c>
      <c r="S12" s="17">
        <v>-5700</v>
      </c>
      <c r="T12" s="17">
        <v>0</v>
      </c>
      <c r="U12" s="17">
        <v>0</v>
      </c>
      <c r="V12" s="17">
        <v>0</v>
      </c>
      <c r="W12" s="17">
        <v>0</v>
      </c>
      <c r="X12" s="17">
        <v>-202</v>
      </c>
      <c r="Y12" s="17">
        <v>-101</v>
      </c>
      <c r="Z12" s="17">
        <v>-1250</v>
      </c>
      <c r="AA12" s="17">
        <v>0</v>
      </c>
      <c r="AB12" s="17">
        <v>0</v>
      </c>
      <c r="AC12" s="17">
        <v>0</v>
      </c>
      <c r="AD12" s="17">
        <v>0</v>
      </c>
      <c r="AE12" s="17">
        <v>0</v>
      </c>
      <c r="AF12" s="17">
        <v>0</v>
      </c>
      <c r="AG12" s="17">
        <v>686</v>
      </c>
      <c r="AH12" s="17" t="s">
        <v>88</v>
      </c>
      <c r="AI12" s="17">
        <v>0</v>
      </c>
      <c r="AJ12" s="17">
        <v>0</v>
      </c>
      <c r="AK12" s="17" t="s">
        <v>72</v>
      </c>
      <c r="AL12" s="17" t="s">
        <v>72</v>
      </c>
      <c r="AM12" s="17" t="s"/>
      <c r="AN12" s="17">
        <v>0</v>
      </c>
      <c r="AO12" s="17">
        <v>0</v>
      </c>
      <c r="AP12" s="17">
        <v>0</v>
      </c>
      <c r="AQ12" s="17">
        <v>0</v>
      </c>
      <c r="AR12" s="17">
        <v>0</v>
      </c>
    </row>
    <row r="13">
      <c r="A13" s="17">
        <v>7</v>
      </c>
      <c r="B13" s="17" t="s">
        <v>89</v>
      </c>
      <c r="C13" s="17" t="s"/>
      <c r="D13" s="17" t="s">
        <v>90</v>
      </c>
      <c r="E13" s="17" t="s">
        <v>84</v>
      </c>
      <c r="F13" s="17" t="s">
        <v>91</v>
      </c>
      <c r="G13" s="17" t="s">
        <v>92</v>
      </c>
      <c r="H13" s="17">
        <v>698000</v>
      </c>
      <c r="I13" s="17">
        <v>0</v>
      </c>
      <c r="J13" s="17">
        <v>0</v>
      </c>
      <c r="K13" s="17">
        <v>0</v>
      </c>
      <c r="L13" s="17">
        <v>-40000</v>
      </c>
      <c r="M13" s="17">
        <v>0</v>
      </c>
      <c r="N13" s="17">
        <v>0</v>
      </c>
      <c r="O13" s="17">
        <v>0</v>
      </c>
      <c r="P13" s="17">
        <v>0</v>
      </c>
      <c r="Q13" s="17">
        <v>0</v>
      </c>
      <c r="R13" s="17">
        <v>40000</v>
      </c>
      <c r="S13" s="17">
        <v>-40000</v>
      </c>
      <c r="T13" s="17">
        <v>0</v>
      </c>
      <c r="U13" s="17">
        <v>0</v>
      </c>
      <c r="V13" s="17">
        <v>0</v>
      </c>
      <c r="W13" s="17">
        <v>-19282</v>
      </c>
      <c r="X13" s="17">
        <v>-27636</v>
      </c>
      <c r="Y13" s="17">
        <v>-41454</v>
      </c>
      <c r="Z13" s="17">
        <v>-1250</v>
      </c>
      <c r="AA13" s="17">
        <v>0</v>
      </c>
      <c r="AB13" s="17">
        <v>0</v>
      </c>
      <c r="AC13" s="17">
        <v>0</v>
      </c>
      <c r="AD13" s="17">
        <v>0</v>
      </c>
      <c r="AE13" s="17">
        <v>0</v>
      </c>
      <c r="AF13" s="17">
        <v>0</v>
      </c>
      <c r="AG13" s="17">
        <v>568378</v>
      </c>
      <c r="AH13" s="17" t="s">
        <v>93</v>
      </c>
      <c r="AI13" s="17">
        <v>0</v>
      </c>
      <c r="AJ13" s="17">
        <v>0</v>
      </c>
      <c r="AK13" s="17" t="s">
        <v>94</v>
      </c>
      <c r="AL13" s="17" t="s">
        <v>94</v>
      </c>
      <c r="AM13" s="17" t="s"/>
      <c r="AN13" s="17">
        <v>0</v>
      </c>
      <c r="AO13" s="17">
        <v>0</v>
      </c>
      <c r="AP13" s="17">
        <v>0</v>
      </c>
      <c r="AQ13" s="17">
        <v>0</v>
      </c>
      <c r="AR13" s="17">
        <v>0</v>
      </c>
    </row>
    <row r="14">
      <c r="A14" s="17">
        <v>8</v>
      </c>
      <c r="B14" s="17" t="s">
        <v>95</v>
      </c>
      <c r="C14" s="17" t="s"/>
      <c r="D14" s="17" t="s">
        <v>96</v>
      </c>
      <c r="E14" s="17" t="s">
        <v>76</v>
      </c>
      <c r="F14" s="17" t="s">
        <v>97</v>
      </c>
      <c r="G14" s="17" t="s">
        <v>92</v>
      </c>
      <c r="H14" s="17">
        <v>2464026</v>
      </c>
      <c r="I14" s="17">
        <v>-1005026</v>
      </c>
      <c r="J14" s="17">
        <v>0</v>
      </c>
      <c r="K14" s="17">
        <v>0</v>
      </c>
      <c r="L14" s="17">
        <v>-20000</v>
      </c>
      <c r="M14" s="17">
        <v>0</v>
      </c>
      <c r="N14" s="17">
        <v>0</v>
      </c>
      <c r="O14" s="17">
        <v>0</v>
      </c>
      <c r="P14" s="17">
        <v>0</v>
      </c>
      <c r="Q14" s="17">
        <v>0</v>
      </c>
      <c r="R14" s="17">
        <v>8500</v>
      </c>
      <c r="S14" s="17">
        <v>-8500</v>
      </c>
      <c r="T14" s="17">
        <v>0</v>
      </c>
      <c r="U14" s="17">
        <v>0</v>
      </c>
      <c r="V14" s="17">
        <v>0</v>
      </c>
      <c r="W14" s="17">
        <v>0</v>
      </c>
      <c r="X14" s="17">
        <v>-60438</v>
      </c>
      <c r="Y14" s="17">
        <v>-85902</v>
      </c>
      <c r="Z14" s="17">
        <v>-1250</v>
      </c>
      <c r="AA14" s="17">
        <v>0</v>
      </c>
      <c r="AB14" s="17">
        <v>0</v>
      </c>
      <c r="AC14" s="17">
        <v>0</v>
      </c>
      <c r="AD14" s="17">
        <v>0</v>
      </c>
      <c r="AE14" s="17">
        <v>0</v>
      </c>
      <c r="AF14" s="17">
        <v>0</v>
      </c>
      <c r="AG14" s="17">
        <v>1291410</v>
      </c>
      <c r="AH14" s="17" t="s">
        <v>98</v>
      </c>
      <c r="AI14" s="17">
        <v>0</v>
      </c>
      <c r="AJ14" s="17">
        <v>0</v>
      </c>
      <c r="AK14" s="17" t="s">
        <v>66</v>
      </c>
      <c r="AL14" s="17" t="s">
        <v>67</v>
      </c>
      <c r="AM14" s="17" t="s"/>
      <c r="AN14" s="17">
        <v>0</v>
      </c>
      <c r="AO14" s="17">
        <v>0</v>
      </c>
      <c r="AP14" s="17">
        <v>0</v>
      </c>
      <c r="AQ14" s="17">
        <v>0</v>
      </c>
      <c r="AR14" s="17">
        <v>0</v>
      </c>
    </row>
    <row r="15">
      <c r="A15" s="17">
        <v>9</v>
      </c>
      <c r="B15" s="17" t="s">
        <v>99</v>
      </c>
      <c r="C15" s="17" t="s"/>
      <c r="D15" s="17" t="s">
        <v>100</v>
      </c>
      <c r="E15" s="17" t="s">
        <v>101</v>
      </c>
      <c r="F15" s="17" t="s">
        <v>70</v>
      </c>
      <c r="G15" s="17" t="s">
        <v>92</v>
      </c>
      <c r="H15" s="17">
        <v>11195</v>
      </c>
      <c r="I15" s="17">
        <v>0</v>
      </c>
      <c r="J15" s="17">
        <v>0</v>
      </c>
      <c r="K15" s="17">
        <v>0</v>
      </c>
      <c r="L15" s="17">
        <v>0</v>
      </c>
      <c r="M15" s="17">
        <v>0</v>
      </c>
      <c r="N15" s="17">
        <v>0</v>
      </c>
      <c r="O15" s="17">
        <v>0</v>
      </c>
      <c r="P15" s="17">
        <v>6500</v>
      </c>
      <c r="Q15" s="17">
        <v>0</v>
      </c>
      <c r="R15" s="17">
        <v>0</v>
      </c>
      <c r="S15" s="17">
        <v>-6500</v>
      </c>
      <c r="T15" s="17">
        <v>0</v>
      </c>
      <c r="U15" s="17">
        <v>0</v>
      </c>
      <c r="V15" s="17">
        <v>0</v>
      </c>
      <c r="W15" s="17">
        <v>0</v>
      </c>
      <c r="X15" s="17">
        <v>-1008</v>
      </c>
      <c r="Y15" s="17">
        <v>-504</v>
      </c>
      <c r="Z15" s="17">
        <v>-1250</v>
      </c>
      <c r="AA15" s="17">
        <v>0</v>
      </c>
      <c r="AB15" s="17">
        <v>0</v>
      </c>
      <c r="AC15" s="17">
        <v>0</v>
      </c>
      <c r="AD15" s="17">
        <v>0</v>
      </c>
      <c r="AE15" s="17">
        <v>0</v>
      </c>
      <c r="AF15" s="17">
        <v>0</v>
      </c>
      <c r="AG15" s="17">
        <v>8433</v>
      </c>
      <c r="AH15" s="17" t="s"/>
      <c r="AI15" s="17">
        <v>0</v>
      </c>
      <c r="AJ15" s="17">
        <v>0</v>
      </c>
      <c r="AK15" s="17" t="s">
        <v>66</v>
      </c>
      <c r="AL15" s="17" t="s">
        <v>102</v>
      </c>
      <c r="AM15" s="17" t="s"/>
      <c r="AN15" s="17">
        <v>0</v>
      </c>
      <c r="AO15" s="17">
        <v>0</v>
      </c>
      <c r="AP15" s="17">
        <v>0</v>
      </c>
      <c r="AQ15" s="17">
        <v>0</v>
      </c>
      <c r="AR15" s="17">
        <v>0</v>
      </c>
    </row>
    <row r="16">
      <c r="A16" s="17">
        <v>10</v>
      </c>
      <c r="B16" s="17" t="s">
        <v>103</v>
      </c>
      <c r="C16" s="17" t="s"/>
      <c r="D16" s="17" t="s">
        <v>104</v>
      </c>
      <c r="E16" s="17" t="s">
        <v>75</v>
      </c>
      <c r="F16" s="17" t="s">
        <v>70</v>
      </c>
      <c r="G16" s="17" t="s">
        <v>105</v>
      </c>
      <c r="H16" s="17">
        <v>3339000</v>
      </c>
      <c r="I16" s="17">
        <v>-2248000</v>
      </c>
      <c r="J16" s="17">
        <v>0</v>
      </c>
      <c r="K16" s="17">
        <v>0</v>
      </c>
      <c r="L16" s="17">
        <v>-20000</v>
      </c>
      <c r="M16" s="17">
        <v>0</v>
      </c>
      <c r="N16" s="17">
        <v>0</v>
      </c>
      <c r="O16" s="17">
        <v>0</v>
      </c>
      <c r="P16" s="17">
        <v>0</v>
      </c>
      <c r="Q16" s="17">
        <v>0</v>
      </c>
      <c r="R16" s="17">
        <v>170000</v>
      </c>
      <c r="S16" s="17">
        <v>-170000</v>
      </c>
      <c r="T16" s="17">
        <v>0</v>
      </c>
      <c r="U16" s="17">
        <v>0</v>
      </c>
      <c r="V16" s="17">
        <v>0</v>
      </c>
      <c r="W16" s="17">
        <v>0</v>
      </c>
      <c r="X16" s="17">
        <v>-56228</v>
      </c>
      <c r="Y16" s="17">
        <v>-48195</v>
      </c>
      <c r="Z16" s="17">
        <v>-1250</v>
      </c>
      <c r="AA16" s="17">
        <v>0</v>
      </c>
      <c r="AB16" s="17">
        <v>0</v>
      </c>
      <c r="AC16" s="17">
        <v>0</v>
      </c>
      <c r="AD16" s="17">
        <v>0</v>
      </c>
      <c r="AE16" s="17">
        <v>0</v>
      </c>
      <c r="AF16" s="17">
        <v>0</v>
      </c>
      <c r="AG16" s="17">
        <v>965327</v>
      </c>
      <c r="AH16" s="17" t="s">
        <v>106</v>
      </c>
      <c r="AI16" s="17">
        <v>0</v>
      </c>
      <c r="AJ16" s="17">
        <v>0</v>
      </c>
      <c r="AK16" s="17" t="s">
        <v>79</v>
      </c>
      <c r="AL16" s="17" t="s">
        <v>72</v>
      </c>
      <c r="AM16" s="17" t="s"/>
      <c r="AN16" s="17">
        <v>0</v>
      </c>
      <c r="AO16" s="17">
        <v>0</v>
      </c>
      <c r="AP16" s="17">
        <v>0</v>
      </c>
      <c r="AQ16" s="17">
        <v>0</v>
      </c>
      <c r="AR16" s="17">
        <v>0</v>
      </c>
    </row>
    <row r="17">
      <c r="A17" s="17">
        <v>11</v>
      </c>
      <c r="B17" s="17" t="s">
        <v>107</v>
      </c>
      <c r="C17" s="17" t="s"/>
      <c r="D17" s="17" t="s">
        <v>108</v>
      </c>
      <c r="E17" s="17" t="s">
        <v>76</v>
      </c>
      <c r="F17" s="17" t="s">
        <v>70</v>
      </c>
      <c r="G17" s="17" t="s">
        <v>105</v>
      </c>
      <c r="H17" s="17">
        <v>2464026</v>
      </c>
      <c r="I17" s="17">
        <v>-1005026</v>
      </c>
      <c r="J17" s="17">
        <v>0</v>
      </c>
      <c r="K17" s="17">
        <v>0</v>
      </c>
      <c r="L17" s="17">
        <v>-20000</v>
      </c>
      <c r="M17" s="17">
        <v>0</v>
      </c>
      <c r="N17" s="17">
        <v>0</v>
      </c>
      <c r="O17" s="17">
        <v>0</v>
      </c>
      <c r="P17" s="17">
        <v>0</v>
      </c>
      <c r="Q17" s="17">
        <v>0</v>
      </c>
      <c r="R17" s="17">
        <v>8500</v>
      </c>
      <c r="S17" s="17">
        <v>-8500</v>
      </c>
      <c r="T17" s="17">
        <v>0</v>
      </c>
      <c r="U17" s="17">
        <v>0</v>
      </c>
      <c r="V17" s="17">
        <v>0</v>
      </c>
      <c r="W17" s="17">
        <v>0</v>
      </c>
      <c r="X17" s="17">
        <v>-60438</v>
      </c>
      <c r="Y17" s="17">
        <v>-85902</v>
      </c>
      <c r="Z17" s="17">
        <v>-1250</v>
      </c>
      <c r="AA17" s="17">
        <v>0</v>
      </c>
      <c r="AB17" s="17">
        <v>0</v>
      </c>
      <c r="AC17" s="17">
        <v>0</v>
      </c>
      <c r="AD17" s="17">
        <v>0</v>
      </c>
      <c r="AE17" s="17">
        <v>0</v>
      </c>
      <c r="AF17" s="17">
        <v>0</v>
      </c>
      <c r="AG17" s="17">
        <v>1291410</v>
      </c>
      <c r="AH17" s="17" t="s">
        <v>98</v>
      </c>
      <c r="AI17" s="17">
        <v>0</v>
      </c>
      <c r="AJ17" s="17">
        <v>0</v>
      </c>
      <c r="AK17" s="17" t="s">
        <v>66</v>
      </c>
      <c r="AL17" s="17" t="s">
        <v>67</v>
      </c>
      <c r="AM17" s="17" t="s"/>
      <c r="AN17" s="17">
        <v>0</v>
      </c>
      <c r="AO17" s="17">
        <v>0</v>
      </c>
      <c r="AP17" s="17">
        <v>0</v>
      </c>
      <c r="AQ17" s="17">
        <v>0</v>
      </c>
      <c r="AR17" s="17">
        <v>0</v>
      </c>
    </row>
    <row r="18">
      <c r="A18" s="17">
        <v>12</v>
      </c>
      <c r="B18" s="17" t="s">
        <v>109</v>
      </c>
      <c r="C18" s="17" t="s"/>
      <c r="D18" s="17" t="s">
        <v>110</v>
      </c>
      <c r="E18" s="17" t="s">
        <v>71</v>
      </c>
      <c r="F18" s="17" t="s">
        <v>70</v>
      </c>
      <c r="G18" s="17" t="s">
        <v>105</v>
      </c>
      <c r="H18" s="17">
        <v>698000</v>
      </c>
      <c r="I18" s="17">
        <v>0</v>
      </c>
      <c r="J18" s="17">
        <v>0</v>
      </c>
      <c r="K18" s="17">
        <v>0</v>
      </c>
      <c r="L18" s="17">
        <v>-40000</v>
      </c>
      <c r="M18" s="17">
        <v>0</v>
      </c>
      <c r="N18" s="17">
        <v>0</v>
      </c>
      <c r="O18" s="17">
        <v>0</v>
      </c>
      <c r="P18" s="17">
        <v>0</v>
      </c>
      <c r="Q18" s="17">
        <v>0</v>
      </c>
      <c r="R18" s="17">
        <v>10000</v>
      </c>
      <c r="S18" s="17">
        <v>-10000</v>
      </c>
      <c r="T18" s="17">
        <v>0</v>
      </c>
      <c r="U18" s="17">
        <v>0</v>
      </c>
      <c r="V18" s="17">
        <v>0</v>
      </c>
      <c r="W18" s="17">
        <v>0</v>
      </c>
      <c r="X18" s="17">
        <v>-27636</v>
      </c>
      <c r="Y18" s="17">
        <v>-41454</v>
      </c>
      <c r="Z18" s="17">
        <v>-1250</v>
      </c>
      <c r="AA18" s="17">
        <v>0</v>
      </c>
      <c r="AB18" s="17">
        <v>0</v>
      </c>
      <c r="AC18" s="17">
        <v>0</v>
      </c>
      <c r="AD18" s="17">
        <v>0</v>
      </c>
      <c r="AE18" s="17">
        <v>0</v>
      </c>
      <c r="AF18" s="17">
        <v>0</v>
      </c>
      <c r="AG18" s="17">
        <v>587660</v>
      </c>
      <c r="AH18" s="17" t="s">
        <v>93</v>
      </c>
      <c r="AI18" s="17">
        <v>0</v>
      </c>
      <c r="AJ18" s="17">
        <v>0</v>
      </c>
      <c r="AK18" s="17" t="s">
        <v>66</v>
      </c>
      <c r="AL18" s="17" t="s">
        <v>67</v>
      </c>
      <c r="AM18" s="17" t="s"/>
      <c r="AN18" s="17">
        <v>0</v>
      </c>
      <c r="AO18" s="17">
        <v>0</v>
      </c>
      <c r="AP18" s="17">
        <v>0</v>
      </c>
      <c r="AQ18" s="17">
        <v>0</v>
      </c>
      <c r="AR18" s="17">
        <v>0</v>
      </c>
    </row>
    <row r="19">
      <c r="A19" s="17">
        <v>13</v>
      </c>
      <c r="B19" s="17" t="s">
        <v>111</v>
      </c>
      <c r="C19" s="17" t="s"/>
      <c r="D19" s="17" t="s">
        <v>112</v>
      </c>
      <c r="E19" s="17" t="s">
        <v>5</v>
      </c>
      <c r="F19" s="17" t="s">
        <v>97</v>
      </c>
      <c r="G19" s="17" t="s">
        <v>113</v>
      </c>
      <c r="H19" s="17">
        <v>698000</v>
      </c>
      <c r="I19" s="17">
        <v>0</v>
      </c>
      <c r="J19" s="17">
        <v>0</v>
      </c>
      <c r="K19" s="17">
        <v>0</v>
      </c>
      <c r="L19" s="17">
        <v>-40000</v>
      </c>
      <c r="M19" s="17">
        <v>0</v>
      </c>
      <c r="N19" s="17">
        <v>0</v>
      </c>
      <c r="O19" s="17">
        <v>0</v>
      </c>
      <c r="P19" s="17">
        <v>24400</v>
      </c>
      <c r="Q19" s="17">
        <v>0</v>
      </c>
      <c r="R19" s="17">
        <v>60000</v>
      </c>
      <c r="S19" s="17">
        <v>-84400</v>
      </c>
      <c r="T19" s="17">
        <v>0</v>
      </c>
      <c r="U19" s="17">
        <v>0</v>
      </c>
      <c r="V19" s="17">
        <v>0</v>
      </c>
      <c r="W19" s="17">
        <v>0</v>
      </c>
      <c r="X19" s="17">
        <v>-34545</v>
      </c>
      <c r="Y19" s="17">
        <v>-29610</v>
      </c>
      <c r="Z19" s="17">
        <v>-1250</v>
      </c>
      <c r="AA19" s="17">
        <v>0</v>
      </c>
      <c r="AB19" s="17">
        <v>0</v>
      </c>
      <c r="AC19" s="17">
        <v>0</v>
      </c>
      <c r="AD19" s="17">
        <v>0</v>
      </c>
      <c r="AE19" s="17">
        <v>0</v>
      </c>
      <c r="AF19" s="17">
        <v>0</v>
      </c>
      <c r="AG19" s="17">
        <v>592595</v>
      </c>
      <c r="AH19" s="17" t="s">
        <v>93</v>
      </c>
      <c r="AI19" s="17">
        <v>0</v>
      </c>
      <c r="AJ19" s="17">
        <v>0</v>
      </c>
      <c r="AK19" s="17" t="s">
        <v>67</v>
      </c>
      <c r="AL19" s="17" t="s">
        <v>67</v>
      </c>
      <c r="AM19" s="17" t="s"/>
      <c r="AN19" s="17">
        <v>0</v>
      </c>
      <c r="AO19" s="17">
        <v>0</v>
      </c>
      <c r="AP19" s="17">
        <v>0</v>
      </c>
      <c r="AQ19" s="17">
        <v>0</v>
      </c>
      <c r="AR19" s="17">
        <v>0</v>
      </c>
    </row>
    <row r="20">
      <c r="A20" s="17">
        <v>14</v>
      </c>
      <c r="B20" s="17" t="s">
        <v>114</v>
      </c>
      <c r="C20" s="17" t="s"/>
      <c r="D20" s="17" t="s">
        <v>115</v>
      </c>
      <c r="E20" s="17" t="s">
        <v>76</v>
      </c>
      <c r="F20" s="17" t="s">
        <v>70</v>
      </c>
      <c r="G20" s="17" t="s">
        <v>116</v>
      </c>
      <c r="H20" s="17">
        <v>11195</v>
      </c>
      <c r="I20" s="17">
        <v>0</v>
      </c>
      <c r="J20" s="17">
        <v>0</v>
      </c>
      <c r="K20" s="17">
        <v>0</v>
      </c>
      <c r="L20" s="17">
        <v>0</v>
      </c>
      <c r="M20" s="17">
        <v>0</v>
      </c>
      <c r="N20" s="17">
        <v>0</v>
      </c>
      <c r="O20" s="17">
        <v>0</v>
      </c>
      <c r="P20" s="17">
        <v>6500</v>
      </c>
      <c r="Q20" s="17">
        <v>0</v>
      </c>
      <c r="R20" s="17">
        <v>0</v>
      </c>
      <c r="S20" s="17">
        <v>-6500</v>
      </c>
      <c r="T20" s="17">
        <v>0</v>
      </c>
      <c r="U20" s="17">
        <v>0</v>
      </c>
      <c r="V20" s="17">
        <v>0</v>
      </c>
      <c r="W20" s="17">
        <v>0</v>
      </c>
      <c r="X20" s="17">
        <v>-806</v>
      </c>
      <c r="Y20" s="17">
        <v>-706</v>
      </c>
      <c r="Z20" s="17">
        <v>-1250</v>
      </c>
      <c r="AA20" s="17">
        <v>0</v>
      </c>
      <c r="AB20" s="17">
        <v>0</v>
      </c>
      <c r="AC20" s="17">
        <v>0</v>
      </c>
      <c r="AD20" s="17">
        <v>0</v>
      </c>
      <c r="AE20" s="17">
        <v>0</v>
      </c>
      <c r="AF20" s="17">
        <v>0</v>
      </c>
      <c r="AG20" s="17">
        <v>8433</v>
      </c>
      <c r="AH20" s="17" t="s"/>
      <c r="AI20" s="17">
        <v>0</v>
      </c>
      <c r="AJ20" s="17">
        <v>0</v>
      </c>
      <c r="AK20" s="17" t="s">
        <v>66</v>
      </c>
      <c r="AL20" s="17" t="s">
        <v>102</v>
      </c>
      <c r="AM20" s="17" t="s"/>
      <c r="AN20" s="17">
        <v>0</v>
      </c>
      <c r="AO20" s="17">
        <v>0</v>
      </c>
      <c r="AP20" s="17">
        <v>0</v>
      </c>
      <c r="AQ20" s="17">
        <v>0</v>
      </c>
      <c r="AR20" s="17">
        <v>0</v>
      </c>
    </row>
    <row r="21">
      <c r="A21" s="17">
        <v>15</v>
      </c>
      <c r="B21" s="17" t="s">
        <v>117</v>
      </c>
      <c r="C21" s="17" t="s"/>
      <c r="D21" s="17" t="s">
        <v>118</v>
      </c>
      <c r="E21" s="17" t="s">
        <v>84</v>
      </c>
      <c r="F21" s="17" t="s">
        <v>70</v>
      </c>
      <c r="G21" s="17" t="s">
        <v>119</v>
      </c>
      <c r="H21" s="17">
        <v>11195</v>
      </c>
      <c r="I21" s="17">
        <v>0</v>
      </c>
      <c r="J21" s="17">
        <v>0</v>
      </c>
      <c r="K21" s="17">
        <v>0</v>
      </c>
      <c r="L21" s="17">
        <v>0</v>
      </c>
      <c r="M21" s="17">
        <v>0</v>
      </c>
      <c r="N21" s="17">
        <v>0</v>
      </c>
      <c r="O21" s="17">
        <v>0</v>
      </c>
      <c r="P21" s="17">
        <v>6500</v>
      </c>
      <c r="Q21" s="17">
        <v>0</v>
      </c>
      <c r="R21" s="17">
        <v>0</v>
      </c>
      <c r="S21" s="17">
        <v>-6500</v>
      </c>
      <c r="T21" s="17">
        <v>0</v>
      </c>
      <c r="U21" s="17">
        <v>0</v>
      </c>
      <c r="V21" s="17">
        <v>0</v>
      </c>
      <c r="W21" s="17">
        <v>0</v>
      </c>
      <c r="X21" s="17">
        <v>-806</v>
      </c>
      <c r="Y21" s="17">
        <v>-706</v>
      </c>
      <c r="Z21" s="17">
        <v>-1250</v>
      </c>
      <c r="AA21" s="17">
        <v>0</v>
      </c>
      <c r="AB21" s="17">
        <v>0</v>
      </c>
      <c r="AC21" s="17">
        <v>0</v>
      </c>
      <c r="AD21" s="17">
        <v>0</v>
      </c>
      <c r="AE21" s="17">
        <v>0</v>
      </c>
      <c r="AF21" s="17">
        <v>0</v>
      </c>
      <c r="AG21" s="17">
        <v>8433</v>
      </c>
      <c r="AH21" s="17" t="s"/>
      <c r="AI21" s="17">
        <v>0</v>
      </c>
      <c r="AJ21" s="17">
        <v>0</v>
      </c>
      <c r="AK21" s="17" t="s">
        <v>66</v>
      </c>
      <c r="AL21" s="17" t="s">
        <v>102</v>
      </c>
      <c r="AM21" s="17" t="s"/>
      <c r="AN21" s="17">
        <v>0</v>
      </c>
      <c r="AO21" s="17">
        <v>0</v>
      </c>
      <c r="AP21" s="17">
        <v>0</v>
      </c>
      <c r="AQ21" s="17">
        <v>0</v>
      </c>
      <c r="AR21" s="17">
        <v>0</v>
      </c>
    </row>
    <row r="22">
      <c r="A22" s="17">
        <v>16</v>
      </c>
      <c r="B22" s="17" t="s">
        <v>120</v>
      </c>
      <c r="C22" s="17" t="s"/>
      <c r="D22" s="17" t="s">
        <v>121</v>
      </c>
      <c r="E22" s="17" t="s">
        <v>119</v>
      </c>
      <c r="F22" s="17" t="s">
        <v>97</v>
      </c>
      <c r="G22" s="17" t="s">
        <v>122</v>
      </c>
      <c r="H22" s="17">
        <v>698000</v>
      </c>
      <c r="I22" s="17">
        <v>0</v>
      </c>
      <c r="J22" s="17">
        <v>0</v>
      </c>
      <c r="K22" s="17">
        <v>0</v>
      </c>
      <c r="L22" s="17">
        <v>-40000</v>
      </c>
      <c r="M22" s="17">
        <v>0</v>
      </c>
      <c r="N22" s="17">
        <v>0</v>
      </c>
      <c r="O22" s="17">
        <v>0</v>
      </c>
      <c r="P22" s="17">
        <v>17000</v>
      </c>
      <c r="Q22" s="17">
        <v>0</v>
      </c>
      <c r="R22" s="17">
        <v>50000</v>
      </c>
      <c r="S22" s="17">
        <v>-67000</v>
      </c>
      <c r="T22" s="17">
        <v>0</v>
      </c>
      <c r="U22" s="17">
        <v>0</v>
      </c>
      <c r="V22" s="17">
        <v>0</v>
      </c>
      <c r="W22" s="17">
        <v>-19063</v>
      </c>
      <c r="X22" s="17">
        <v>-27636</v>
      </c>
      <c r="Y22" s="17">
        <v>-41454</v>
      </c>
      <c r="Z22" s="17">
        <v>-1250</v>
      </c>
      <c r="AA22" s="17">
        <v>0</v>
      </c>
      <c r="AB22" s="17">
        <v>0</v>
      </c>
      <c r="AC22" s="17">
        <v>0</v>
      </c>
      <c r="AD22" s="17">
        <v>0</v>
      </c>
      <c r="AE22" s="17">
        <v>0</v>
      </c>
      <c r="AF22" s="17">
        <v>0</v>
      </c>
      <c r="AG22" s="17">
        <v>568597</v>
      </c>
      <c r="AH22" s="17" t="s">
        <v>93</v>
      </c>
      <c r="AI22" s="17">
        <v>0</v>
      </c>
      <c r="AJ22" s="17">
        <v>0</v>
      </c>
      <c r="AK22" s="17" t="s">
        <v>123</v>
      </c>
      <c r="AL22" s="17" t="s">
        <v>124</v>
      </c>
      <c r="AM22" s="17" t="s"/>
      <c r="AN22" s="17">
        <v>0</v>
      </c>
      <c r="AO22" s="17">
        <v>0</v>
      </c>
      <c r="AP22" s="17">
        <v>0</v>
      </c>
      <c r="AQ22" s="17">
        <v>0</v>
      </c>
      <c r="AR22" s="17">
        <v>0</v>
      </c>
    </row>
    <row r="23">
      <c r="A23" s="17">
        <v>17</v>
      </c>
      <c r="B23" s="17" t="s">
        <v>125</v>
      </c>
      <c r="C23" s="17" t="s"/>
      <c r="D23" s="17" t="s">
        <v>126</v>
      </c>
      <c r="E23" s="17" t="s">
        <v>92</v>
      </c>
      <c r="F23" s="17" t="s">
        <v>70</v>
      </c>
      <c r="G23" s="17" t="s">
        <v>122</v>
      </c>
      <c r="H23" s="17">
        <v>11195</v>
      </c>
      <c r="I23" s="17">
        <v>0</v>
      </c>
      <c r="J23" s="17">
        <v>0</v>
      </c>
      <c r="K23" s="17">
        <v>0</v>
      </c>
      <c r="L23" s="17">
        <v>0</v>
      </c>
      <c r="M23" s="17">
        <v>0</v>
      </c>
      <c r="N23" s="17">
        <v>0</v>
      </c>
      <c r="O23" s="17">
        <v>0</v>
      </c>
      <c r="P23" s="17">
        <v>6500</v>
      </c>
      <c r="Q23" s="17">
        <v>0</v>
      </c>
      <c r="R23" s="17">
        <v>0</v>
      </c>
      <c r="S23" s="17">
        <v>-6500</v>
      </c>
      <c r="T23" s="17">
        <v>0</v>
      </c>
      <c r="U23" s="17">
        <v>0</v>
      </c>
      <c r="V23" s="17">
        <v>0</v>
      </c>
      <c r="W23" s="17">
        <v>0</v>
      </c>
      <c r="X23" s="17">
        <v>-806</v>
      </c>
      <c r="Y23" s="17">
        <v>-706</v>
      </c>
      <c r="Z23" s="17">
        <v>-1250</v>
      </c>
      <c r="AA23" s="17">
        <v>0</v>
      </c>
      <c r="AB23" s="17">
        <v>0</v>
      </c>
      <c r="AC23" s="17">
        <v>0</v>
      </c>
      <c r="AD23" s="17">
        <v>0</v>
      </c>
      <c r="AE23" s="17">
        <v>0</v>
      </c>
      <c r="AF23" s="17">
        <v>0</v>
      </c>
      <c r="AG23" s="17">
        <v>8433</v>
      </c>
      <c r="AH23" s="17" t="s"/>
      <c r="AI23" s="17">
        <v>0</v>
      </c>
      <c r="AJ23" s="17">
        <v>0</v>
      </c>
      <c r="AK23" s="17" t="s">
        <v>66</v>
      </c>
      <c r="AL23" s="17" t="s">
        <v>102</v>
      </c>
      <c r="AM23" s="17" t="s"/>
      <c r="AN23" s="17">
        <v>0</v>
      </c>
      <c r="AO23" s="17">
        <v>0</v>
      </c>
      <c r="AP23" s="17">
        <v>0</v>
      </c>
      <c r="AQ23" s="17">
        <v>0</v>
      </c>
      <c r="AR23" s="17">
        <v>0</v>
      </c>
    </row>
    <row r="24">
      <c r="A24" s="17">
        <v>18</v>
      </c>
      <c r="B24" s="17" t="s">
        <v>127</v>
      </c>
      <c r="C24" s="17" t="s"/>
      <c r="D24" s="17" t="s">
        <v>128</v>
      </c>
      <c r="E24" s="17" t="s">
        <v>105</v>
      </c>
      <c r="F24" s="17" t="s">
        <v>65</v>
      </c>
      <c r="G24" s="17" t="s">
        <v>129</v>
      </c>
      <c r="H24" s="17">
        <v>48000</v>
      </c>
      <c r="I24" s="17">
        <v>-25000</v>
      </c>
      <c r="J24" s="17">
        <v>0</v>
      </c>
      <c r="K24" s="17">
        <v>0</v>
      </c>
      <c r="L24" s="17">
        <v>0</v>
      </c>
      <c r="M24" s="17">
        <v>0</v>
      </c>
      <c r="N24" s="17">
        <v>0</v>
      </c>
      <c r="O24" s="17">
        <v>0</v>
      </c>
      <c r="P24" s="17">
        <v>0</v>
      </c>
      <c r="Q24" s="17">
        <v>0</v>
      </c>
      <c r="R24" s="17">
        <v>5000</v>
      </c>
      <c r="S24" s="17">
        <v>-5000</v>
      </c>
      <c r="T24" s="17">
        <v>0</v>
      </c>
      <c r="U24" s="17">
        <v>0</v>
      </c>
      <c r="V24" s="17">
        <v>0</v>
      </c>
      <c r="W24" s="17">
        <v>0</v>
      </c>
      <c r="X24" s="17">
        <v>-966</v>
      </c>
      <c r="Y24" s="17">
        <v>-1449</v>
      </c>
      <c r="Z24" s="17">
        <v>-1250</v>
      </c>
      <c r="AA24" s="17">
        <v>0</v>
      </c>
      <c r="AB24" s="17">
        <v>0</v>
      </c>
      <c r="AC24" s="17">
        <v>0</v>
      </c>
      <c r="AD24" s="17">
        <v>0</v>
      </c>
      <c r="AE24" s="17">
        <v>0</v>
      </c>
      <c r="AF24" s="17">
        <v>0</v>
      </c>
      <c r="AG24" s="17">
        <v>19335</v>
      </c>
      <c r="AH24" s="17" t="s"/>
      <c r="AI24" s="17">
        <v>0</v>
      </c>
      <c r="AJ24" s="17">
        <v>0</v>
      </c>
      <c r="AK24" s="17" t="s">
        <v>79</v>
      </c>
      <c r="AL24" s="17" t="s">
        <v>72</v>
      </c>
      <c r="AM24" s="17" t="s"/>
      <c r="AN24" s="17">
        <v>0</v>
      </c>
      <c r="AO24" s="17">
        <v>0</v>
      </c>
      <c r="AP24" s="17">
        <v>0</v>
      </c>
      <c r="AQ24" s="17">
        <v>0</v>
      </c>
      <c r="AR24" s="17">
        <v>0</v>
      </c>
    </row>
    <row r="25">
      <c r="A25" s="17">
        <v>19</v>
      </c>
      <c r="B25" s="17" t="s">
        <v>130</v>
      </c>
      <c r="C25" s="17" t="s"/>
      <c r="D25" s="17" t="s">
        <v>131</v>
      </c>
      <c r="E25" s="17" t="s">
        <v>122</v>
      </c>
      <c r="F25" s="17" t="s">
        <v>132</v>
      </c>
      <c r="G25" s="17" t="s">
        <v>129</v>
      </c>
      <c r="H25" s="17">
        <v>842000</v>
      </c>
      <c r="I25" s="17">
        <v>-13000</v>
      </c>
      <c r="J25" s="17">
        <v>0</v>
      </c>
      <c r="K25" s="17">
        <v>0</v>
      </c>
      <c r="L25" s="17">
        <v>-15000</v>
      </c>
      <c r="M25" s="17">
        <v>0</v>
      </c>
      <c r="N25" s="17">
        <v>0</v>
      </c>
      <c r="O25" s="17">
        <v>0</v>
      </c>
      <c r="P25" s="17">
        <v>0</v>
      </c>
      <c r="Q25" s="17">
        <v>0</v>
      </c>
      <c r="R25" s="17">
        <v>32000</v>
      </c>
      <c r="S25" s="17">
        <v>-32000</v>
      </c>
      <c r="T25" s="17">
        <v>0</v>
      </c>
      <c r="U25" s="17">
        <v>0</v>
      </c>
      <c r="V25" s="17">
        <v>0</v>
      </c>
      <c r="W25" s="17">
        <v>0</v>
      </c>
      <c r="X25" s="17">
        <v>-34188</v>
      </c>
      <c r="Y25" s="17">
        <v>-51282</v>
      </c>
      <c r="Z25" s="17">
        <v>-1250</v>
      </c>
      <c r="AA25" s="17">
        <v>0</v>
      </c>
      <c r="AB25" s="17">
        <v>0</v>
      </c>
      <c r="AC25" s="17">
        <v>0</v>
      </c>
      <c r="AD25" s="17">
        <v>0</v>
      </c>
      <c r="AE25" s="17">
        <v>0</v>
      </c>
      <c r="AF25" s="17">
        <v>0</v>
      </c>
      <c r="AG25" s="17">
        <v>727280</v>
      </c>
      <c r="AH25" s="17" t="s">
        <v>133</v>
      </c>
      <c r="AI25" s="17">
        <v>0</v>
      </c>
      <c r="AJ25" s="17">
        <v>0</v>
      </c>
      <c r="AK25" s="17" t="s">
        <v>94</v>
      </c>
      <c r="AL25" s="17" t="s">
        <v>94</v>
      </c>
      <c r="AM25" s="17" t="s"/>
      <c r="AN25" s="17">
        <v>0</v>
      </c>
      <c r="AO25" s="17">
        <v>0</v>
      </c>
      <c r="AP25" s="17">
        <v>0</v>
      </c>
      <c r="AQ25" s="17">
        <v>0</v>
      </c>
      <c r="AR25" s="17">
        <v>0</v>
      </c>
    </row>
    <row r="26">
      <c r="A26" s="17">
        <v>20</v>
      </c>
      <c r="B26" s="17" t="s">
        <v>134</v>
      </c>
      <c r="C26" s="17" t="s"/>
      <c r="D26" s="17" t="s">
        <v>135</v>
      </c>
      <c r="E26" s="17" t="s">
        <v>113</v>
      </c>
      <c r="F26" s="17" t="s">
        <v>70</v>
      </c>
      <c r="G26" s="17" t="s">
        <v>129</v>
      </c>
      <c r="H26" s="17">
        <v>2293000</v>
      </c>
      <c r="I26" s="17">
        <v>-1596000</v>
      </c>
      <c r="J26" s="17">
        <v>0</v>
      </c>
      <c r="K26" s="17">
        <v>0</v>
      </c>
      <c r="L26" s="17">
        <v>-40000</v>
      </c>
      <c r="M26" s="17">
        <v>0</v>
      </c>
      <c r="N26" s="17">
        <v>0</v>
      </c>
      <c r="O26" s="17">
        <v>0</v>
      </c>
      <c r="P26" s="17">
        <v>30000</v>
      </c>
      <c r="Q26" s="17">
        <v>0</v>
      </c>
      <c r="R26" s="17">
        <v>55000</v>
      </c>
      <c r="S26" s="17">
        <v>-85000</v>
      </c>
      <c r="T26" s="17">
        <v>0</v>
      </c>
      <c r="U26" s="17">
        <v>0</v>
      </c>
      <c r="V26" s="17">
        <v>0</v>
      </c>
      <c r="W26" s="17">
        <v>0</v>
      </c>
      <c r="X26" s="17">
        <v>-27594</v>
      </c>
      <c r="Y26" s="17">
        <v>-41391</v>
      </c>
      <c r="Z26" s="17">
        <v>-1250</v>
      </c>
      <c r="AA26" s="17">
        <v>0</v>
      </c>
      <c r="AB26" s="17">
        <v>0</v>
      </c>
      <c r="AC26" s="17">
        <v>0</v>
      </c>
      <c r="AD26" s="17">
        <v>0</v>
      </c>
      <c r="AE26" s="17">
        <v>0</v>
      </c>
      <c r="AF26" s="17">
        <v>0</v>
      </c>
      <c r="AG26" s="17">
        <v>586765</v>
      </c>
      <c r="AH26" s="17" t="s">
        <v>93</v>
      </c>
      <c r="AI26" s="17">
        <v>0</v>
      </c>
      <c r="AJ26" s="17">
        <v>0</v>
      </c>
      <c r="AK26" s="17" t="s">
        <v>123</v>
      </c>
      <c r="AL26" s="17" t="s">
        <v>124</v>
      </c>
      <c r="AM26" s="17" t="s"/>
      <c r="AN26" s="17">
        <v>0</v>
      </c>
      <c r="AO26" s="17">
        <v>0</v>
      </c>
      <c r="AP26" s="17">
        <v>0</v>
      </c>
      <c r="AQ26" s="17">
        <v>0</v>
      </c>
      <c r="AR26" s="17">
        <v>0</v>
      </c>
    </row>
    <row r="27">
      <c r="A27" s="17">
        <v>21</v>
      </c>
      <c r="B27" s="17" t="s">
        <v>136</v>
      </c>
      <c r="C27" s="17" t="s"/>
      <c r="D27" s="17" t="s">
        <v>137</v>
      </c>
      <c r="E27" s="17" t="s">
        <v>105</v>
      </c>
      <c r="F27" s="17" t="s">
        <v>70</v>
      </c>
      <c r="G27" s="17" t="s">
        <v>129</v>
      </c>
      <c r="H27" s="17">
        <v>11195</v>
      </c>
      <c r="I27" s="17">
        <v>0</v>
      </c>
      <c r="J27" s="17">
        <v>0</v>
      </c>
      <c r="K27" s="17">
        <v>0</v>
      </c>
      <c r="L27" s="17">
        <v>0</v>
      </c>
      <c r="M27" s="17">
        <v>0</v>
      </c>
      <c r="N27" s="17">
        <v>0</v>
      </c>
      <c r="O27" s="17">
        <v>0</v>
      </c>
      <c r="P27" s="17">
        <v>3100</v>
      </c>
      <c r="Q27" s="17">
        <v>0</v>
      </c>
      <c r="R27" s="17">
        <v>0</v>
      </c>
      <c r="S27" s="17">
        <v>-3400</v>
      </c>
      <c r="T27" s="17">
        <v>0</v>
      </c>
      <c r="U27" s="17">
        <v>0</v>
      </c>
      <c r="V27" s="17">
        <v>0</v>
      </c>
      <c r="W27" s="17">
        <v>0</v>
      </c>
      <c r="X27" s="17">
        <v>-806</v>
      </c>
      <c r="Y27" s="17">
        <v>-706</v>
      </c>
      <c r="Z27" s="17">
        <v>-1250</v>
      </c>
      <c r="AA27" s="17">
        <v>0</v>
      </c>
      <c r="AB27" s="17">
        <v>0</v>
      </c>
      <c r="AC27" s="17">
        <v>0</v>
      </c>
      <c r="AD27" s="17">
        <v>0</v>
      </c>
      <c r="AE27" s="17">
        <v>0</v>
      </c>
      <c r="AF27" s="17">
        <v>0</v>
      </c>
      <c r="AG27" s="17">
        <v>8133</v>
      </c>
      <c r="AH27" s="17" t="s"/>
      <c r="AI27" s="17">
        <v>0</v>
      </c>
      <c r="AJ27" s="17">
        <v>0</v>
      </c>
      <c r="AK27" s="17" t="s">
        <v>72</v>
      </c>
      <c r="AL27" s="17" t="s">
        <v>72</v>
      </c>
      <c r="AM27" s="17" t="s"/>
      <c r="AN27" s="17">
        <v>0</v>
      </c>
      <c r="AO27" s="17">
        <v>0</v>
      </c>
      <c r="AP27" s="17">
        <v>0</v>
      </c>
      <c r="AQ27" s="17">
        <v>0</v>
      </c>
      <c r="AR27" s="17">
        <v>0</v>
      </c>
    </row>
    <row r="28">
      <c r="A28" s="17">
        <v>22</v>
      </c>
      <c r="B28" s="17" t="s">
        <v>138</v>
      </c>
      <c r="C28" s="17" t="s"/>
      <c r="D28" s="17" t="s">
        <v>139</v>
      </c>
      <c r="E28" s="17" t="s">
        <v>5</v>
      </c>
      <c r="F28" s="17" t="s">
        <v>65</v>
      </c>
      <c r="G28" s="17" t="s">
        <v>129</v>
      </c>
      <c r="H28" s="17">
        <v>698000</v>
      </c>
      <c r="I28" s="17">
        <v>0</v>
      </c>
      <c r="J28" s="17">
        <v>0</v>
      </c>
      <c r="K28" s="17">
        <v>0</v>
      </c>
      <c r="L28" s="17">
        <v>-40000</v>
      </c>
      <c r="M28" s="17">
        <v>0</v>
      </c>
      <c r="N28" s="17">
        <v>0</v>
      </c>
      <c r="O28" s="17">
        <v>0</v>
      </c>
      <c r="P28" s="17">
        <v>76200</v>
      </c>
      <c r="Q28" s="17">
        <v>0</v>
      </c>
      <c r="R28" s="17">
        <v>60000</v>
      </c>
      <c r="S28" s="17">
        <v>-136200</v>
      </c>
      <c r="T28" s="17">
        <v>0</v>
      </c>
      <c r="U28" s="17">
        <v>0</v>
      </c>
      <c r="V28" s="17">
        <v>0</v>
      </c>
      <c r="W28" s="17">
        <v>-51127</v>
      </c>
      <c r="X28" s="17">
        <v>-34545</v>
      </c>
      <c r="Y28" s="17">
        <v>-42770</v>
      </c>
      <c r="Z28" s="17">
        <v>-1250</v>
      </c>
      <c r="AA28" s="17">
        <v>0</v>
      </c>
      <c r="AB28" s="17">
        <v>0</v>
      </c>
      <c r="AC28" s="17">
        <v>0</v>
      </c>
      <c r="AD28" s="17">
        <v>0</v>
      </c>
      <c r="AE28" s="17">
        <v>0</v>
      </c>
      <c r="AF28" s="17">
        <v>0</v>
      </c>
      <c r="AG28" s="17">
        <v>528308</v>
      </c>
      <c r="AH28" s="17" t="s">
        <v>93</v>
      </c>
      <c r="AI28" s="17">
        <v>0</v>
      </c>
      <c r="AJ28" s="17">
        <v>0</v>
      </c>
      <c r="AK28" s="17" t="s">
        <v>72</v>
      </c>
      <c r="AL28" s="17" t="s">
        <v>72</v>
      </c>
      <c r="AM28" s="17" t="s"/>
      <c r="AN28" s="17">
        <v>0</v>
      </c>
      <c r="AO28" s="17">
        <v>0</v>
      </c>
      <c r="AP28" s="17">
        <v>0</v>
      </c>
      <c r="AQ28" s="17">
        <v>0</v>
      </c>
      <c r="AR28" s="17">
        <v>0</v>
      </c>
    </row>
    <row r="29">
      <c r="A29" s="17">
        <v>23</v>
      </c>
      <c r="B29" s="17" t="s">
        <v>140</v>
      </c>
      <c r="C29" s="17" t="s"/>
      <c r="D29" s="17" t="s">
        <v>141</v>
      </c>
      <c r="E29" s="17" t="s">
        <v>129</v>
      </c>
      <c r="F29" s="17" t="s">
        <v>70</v>
      </c>
      <c r="G29" s="17" t="s">
        <v>142</v>
      </c>
      <c r="H29" s="17">
        <v>698000</v>
      </c>
      <c r="I29" s="17">
        <v>0</v>
      </c>
      <c r="J29" s="17">
        <v>0</v>
      </c>
      <c r="K29" s="17">
        <v>0</v>
      </c>
      <c r="L29" s="17">
        <v>-40000</v>
      </c>
      <c r="M29" s="17">
        <v>0</v>
      </c>
      <c r="N29" s="17">
        <v>0</v>
      </c>
      <c r="O29" s="17">
        <v>0</v>
      </c>
      <c r="P29" s="17">
        <v>0</v>
      </c>
      <c r="Q29" s="17">
        <v>0</v>
      </c>
      <c r="R29" s="17">
        <v>43000</v>
      </c>
      <c r="S29" s="17">
        <v>-43000</v>
      </c>
      <c r="T29" s="17">
        <v>0</v>
      </c>
      <c r="U29" s="17">
        <v>0</v>
      </c>
      <c r="V29" s="17">
        <v>0</v>
      </c>
      <c r="W29" s="17">
        <v>-18625</v>
      </c>
      <c r="X29" s="17">
        <v>-27636</v>
      </c>
      <c r="Y29" s="17">
        <v>-41454</v>
      </c>
      <c r="Z29" s="17">
        <v>-1250</v>
      </c>
      <c r="AA29" s="17">
        <v>0</v>
      </c>
      <c r="AB29" s="17">
        <v>0</v>
      </c>
      <c r="AC29" s="17">
        <v>0</v>
      </c>
      <c r="AD29" s="17">
        <v>0</v>
      </c>
      <c r="AE29" s="17">
        <v>0</v>
      </c>
      <c r="AF29" s="17">
        <v>0</v>
      </c>
      <c r="AG29" s="17">
        <v>569035</v>
      </c>
      <c r="AH29" s="17" t="s">
        <v>93</v>
      </c>
      <c r="AI29" s="17">
        <v>0</v>
      </c>
      <c r="AJ29" s="17">
        <v>0</v>
      </c>
      <c r="AK29" s="17" t="s">
        <v>94</v>
      </c>
      <c r="AL29" s="17" t="s">
        <v>94</v>
      </c>
      <c r="AM29" s="17" t="s"/>
      <c r="AN29" s="17">
        <v>0</v>
      </c>
      <c r="AO29" s="17">
        <v>0</v>
      </c>
      <c r="AP29" s="17">
        <v>0</v>
      </c>
      <c r="AQ29" s="17">
        <v>0</v>
      </c>
      <c r="AR29" s="17">
        <v>0</v>
      </c>
    </row>
    <row r="30">
      <c r="A30" s="17">
        <v>24</v>
      </c>
      <c r="B30" s="17" t="s">
        <v>143</v>
      </c>
      <c r="C30" s="17" t="s"/>
      <c r="D30" s="17" t="s">
        <v>144</v>
      </c>
      <c r="E30" s="17" t="s">
        <v>71</v>
      </c>
      <c r="F30" s="17" t="s">
        <v>97</v>
      </c>
      <c r="G30" s="17" t="s">
        <v>142</v>
      </c>
      <c r="H30" s="17">
        <v>3339000</v>
      </c>
      <c r="I30" s="17">
        <v>-2190000</v>
      </c>
      <c r="J30" s="17">
        <v>0</v>
      </c>
      <c r="K30" s="17">
        <v>0</v>
      </c>
      <c r="L30" s="17">
        <v>-20000</v>
      </c>
      <c r="M30" s="17">
        <v>0</v>
      </c>
      <c r="N30" s="17">
        <v>0</v>
      </c>
      <c r="O30" s="17">
        <v>0</v>
      </c>
      <c r="P30" s="17">
        <v>0</v>
      </c>
      <c r="Q30" s="17">
        <v>0</v>
      </c>
      <c r="R30" s="17">
        <v>8500</v>
      </c>
      <c r="S30" s="17">
        <v>-8500</v>
      </c>
      <c r="T30" s="17">
        <v>0</v>
      </c>
      <c r="U30" s="17">
        <v>0</v>
      </c>
      <c r="V30" s="17">
        <v>0</v>
      </c>
      <c r="W30" s="17">
        <v>0</v>
      </c>
      <c r="X30" s="17">
        <v>-47418</v>
      </c>
      <c r="Y30" s="17">
        <v>-71127</v>
      </c>
      <c r="Z30" s="17">
        <v>-1250</v>
      </c>
      <c r="AA30" s="17">
        <v>0</v>
      </c>
      <c r="AB30" s="17">
        <v>0</v>
      </c>
      <c r="AC30" s="17">
        <v>0</v>
      </c>
      <c r="AD30" s="17">
        <v>0</v>
      </c>
      <c r="AE30" s="17">
        <v>0</v>
      </c>
      <c r="AF30" s="17">
        <v>0</v>
      </c>
      <c r="AG30" s="17">
        <v>1009205</v>
      </c>
      <c r="AH30" s="17" t="s">
        <v>98</v>
      </c>
      <c r="AI30" s="17">
        <v>0</v>
      </c>
      <c r="AJ30" s="17">
        <v>0</v>
      </c>
      <c r="AK30" s="17" t="s">
        <v>66</v>
      </c>
      <c r="AL30" s="17" t="s">
        <v>102</v>
      </c>
      <c r="AM30" s="17" t="s"/>
      <c r="AN30" s="17">
        <v>0</v>
      </c>
      <c r="AO30" s="17">
        <v>0</v>
      </c>
      <c r="AP30" s="17">
        <v>0</v>
      </c>
      <c r="AQ30" s="17">
        <v>0</v>
      </c>
      <c r="AR30" s="17">
        <v>0</v>
      </c>
    </row>
    <row r="31">
      <c r="A31" s="17">
        <v>25</v>
      </c>
      <c r="B31" s="17" t="s">
        <v>145</v>
      </c>
      <c r="C31" s="17" t="s"/>
      <c r="D31" s="17" t="s">
        <v>146</v>
      </c>
      <c r="E31" s="17" t="s">
        <v>92</v>
      </c>
      <c r="F31" s="17" t="s">
        <v>147</v>
      </c>
      <c r="G31" s="17" t="s">
        <v>142</v>
      </c>
      <c r="H31" s="17">
        <v>698000</v>
      </c>
      <c r="I31" s="17">
        <v>0</v>
      </c>
      <c r="J31" s="17">
        <v>0</v>
      </c>
      <c r="K31" s="17">
        <v>0</v>
      </c>
      <c r="L31" s="17">
        <v>-40000</v>
      </c>
      <c r="M31" s="17">
        <v>0</v>
      </c>
      <c r="N31" s="17">
        <v>0</v>
      </c>
      <c r="O31" s="17">
        <v>0</v>
      </c>
      <c r="P31" s="17">
        <v>8000</v>
      </c>
      <c r="Q31" s="17">
        <v>0</v>
      </c>
      <c r="R31" s="17">
        <v>21000</v>
      </c>
      <c r="S31" s="17">
        <v>-29000</v>
      </c>
      <c r="T31" s="17">
        <v>0</v>
      </c>
      <c r="U31" s="17">
        <v>0</v>
      </c>
      <c r="V31" s="17">
        <v>0</v>
      </c>
      <c r="W31" s="17">
        <v>0</v>
      </c>
      <c r="X31" s="17">
        <v>-27636</v>
      </c>
      <c r="Y31" s="17">
        <v>-41454</v>
      </c>
      <c r="Z31" s="17">
        <v>-1250</v>
      </c>
      <c r="AA31" s="17">
        <v>0</v>
      </c>
      <c r="AB31" s="17">
        <v>0</v>
      </c>
      <c r="AC31" s="17">
        <v>0</v>
      </c>
      <c r="AD31" s="17">
        <v>0</v>
      </c>
      <c r="AE31" s="17">
        <v>0</v>
      </c>
      <c r="AF31" s="17">
        <v>0</v>
      </c>
      <c r="AG31" s="17">
        <v>587660</v>
      </c>
      <c r="AH31" s="17" t="s">
        <v>93</v>
      </c>
      <c r="AI31" s="17">
        <v>0</v>
      </c>
      <c r="AJ31" s="17">
        <v>0</v>
      </c>
      <c r="AK31" s="17" t="s">
        <v>148</v>
      </c>
      <c r="AL31" s="17" t="s">
        <v>149</v>
      </c>
      <c r="AM31" s="17" t="s"/>
      <c r="AN31" s="17">
        <v>0</v>
      </c>
      <c r="AO31" s="17">
        <v>0</v>
      </c>
      <c r="AP31" s="17">
        <v>0</v>
      </c>
      <c r="AQ31" s="17">
        <v>0</v>
      </c>
      <c r="AR31" s="17">
        <v>0</v>
      </c>
    </row>
    <row r="32">
      <c r="A32" s="17">
        <v>26</v>
      </c>
      <c r="B32" s="17" t="s">
        <v>150</v>
      </c>
      <c r="C32" s="17" t="s"/>
      <c r="D32" s="17" t="s">
        <v>151</v>
      </c>
      <c r="E32" s="17" t="s">
        <v>84</v>
      </c>
      <c r="F32" s="17" t="s">
        <v>132</v>
      </c>
      <c r="G32" s="17" t="s">
        <v>142</v>
      </c>
      <c r="H32" s="17">
        <v>48000</v>
      </c>
      <c r="I32" s="17">
        <v>-25000</v>
      </c>
      <c r="J32" s="17">
        <v>0</v>
      </c>
      <c r="K32" s="17">
        <v>0</v>
      </c>
      <c r="L32" s="17">
        <v>0</v>
      </c>
      <c r="M32" s="17">
        <v>0</v>
      </c>
      <c r="N32" s="17">
        <v>0</v>
      </c>
      <c r="O32" s="17">
        <v>0</v>
      </c>
      <c r="P32" s="17">
        <v>0</v>
      </c>
      <c r="Q32" s="17">
        <v>0</v>
      </c>
      <c r="R32" s="17">
        <v>6500</v>
      </c>
      <c r="S32" s="17">
        <v>-6500</v>
      </c>
      <c r="T32" s="17">
        <v>0</v>
      </c>
      <c r="U32" s="17">
        <v>0</v>
      </c>
      <c r="V32" s="17">
        <v>0</v>
      </c>
      <c r="W32" s="17">
        <v>0</v>
      </c>
      <c r="X32" s="17">
        <v>-966</v>
      </c>
      <c r="Y32" s="17">
        <v>-1449</v>
      </c>
      <c r="Z32" s="17">
        <v>-1250</v>
      </c>
      <c r="AA32" s="17">
        <v>0</v>
      </c>
      <c r="AB32" s="17">
        <v>0</v>
      </c>
      <c r="AC32" s="17">
        <v>0</v>
      </c>
      <c r="AD32" s="17">
        <v>0</v>
      </c>
      <c r="AE32" s="17">
        <v>0</v>
      </c>
      <c r="AF32" s="17">
        <v>0</v>
      </c>
      <c r="AG32" s="17">
        <v>19335</v>
      </c>
      <c r="AH32" s="17" t="s"/>
      <c r="AI32" s="17">
        <v>0</v>
      </c>
      <c r="AJ32" s="17">
        <v>0</v>
      </c>
      <c r="AK32" s="17" t="s">
        <v>66</v>
      </c>
      <c r="AL32" s="17" t="s">
        <v>67</v>
      </c>
      <c r="AM32" s="17" t="s"/>
      <c r="AN32" s="17">
        <v>0</v>
      </c>
      <c r="AO32" s="17">
        <v>0</v>
      </c>
      <c r="AP32" s="17">
        <v>0</v>
      </c>
      <c r="AQ32" s="17">
        <v>0</v>
      </c>
      <c r="AR32" s="17">
        <v>0</v>
      </c>
    </row>
    <row r="33">
      <c r="A33" s="17">
        <v>27</v>
      </c>
      <c r="B33" s="17" t="s">
        <v>152</v>
      </c>
      <c r="C33" s="17" t="s"/>
      <c r="D33" s="17" t="s">
        <v>153</v>
      </c>
      <c r="E33" s="17" t="s">
        <v>119</v>
      </c>
      <c r="F33" s="17" t="s">
        <v>65</v>
      </c>
      <c r="G33" s="17" t="s">
        <v>154</v>
      </c>
      <c r="H33" s="17">
        <v>48000</v>
      </c>
      <c r="I33" s="17">
        <v>-12000</v>
      </c>
      <c r="J33" s="17">
        <v>0</v>
      </c>
      <c r="K33" s="17">
        <v>0</v>
      </c>
      <c r="L33" s="17">
        <v>0</v>
      </c>
      <c r="M33" s="17">
        <v>0</v>
      </c>
      <c r="N33" s="17">
        <v>0</v>
      </c>
      <c r="O33" s="17">
        <v>0</v>
      </c>
      <c r="P33" s="17">
        <v>0</v>
      </c>
      <c r="Q33" s="17">
        <v>0</v>
      </c>
      <c r="R33" s="17">
        <v>5000</v>
      </c>
      <c r="S33" s="17">
        <v>-5000</v>
      </c>
      <c r="T33" s="17">
        <v>0</v>
      </c>
      <c r="U33" s="17">
        <v>0</v>
      </c>
      <c r="V33" s="17">
        <v>0</v>
      </c>
      <c r="W33" s="17">
        <v>0</v>
      </c>
      <c r="X33" s="17">
        <v>-1512</v>
      </c>
      <c r="Y33" s="17">
        <v>-2268</v>
      </c>
      <c r="Z33" s="17">
        <v>-1250</v>
      </c>
      <c r="AA33" s="17">
        <v>0</v>
      </c>
      <c r="AB33" s="17">
        <v>0</v>
      </c>
      <c r="AC33" s="17">
        <v>0</v>
      </c>
      <c r="AD33" s="17">
        <v>0</v>
      </c>
      <c r="AE33" s="17">
        <v>0</v>
      </c>
      <c r="AF33" s="17">
        <v>0</v>
      </c>
      <c r="AG33" s="17">
        <v>30970</v>
      </c>
      <c r="AH33" s="17" t="s"/>
      <c r="AI33" s="17">
        <v>0</v>
      </c>
      <c r="AJ33" s="17">
        <v>0</v>
      </c>
      <c r="AK33" s="17" t="s">
        <v>79</v>
      </c>
      <c r="AL33" s="17" t="s">
        <v>72</v>
      </c>
      <c r="AM33" s="17" t="s"/>
      <c r="AN33" s="17">
        <v>0</v>
      </c>
      <c r="AO33" s="17">
        <v>0</v>
      </c>
      <c r="AP33" s="17">
        <v>0</v>
      </c>
      <c r="AQ33" s="17">
        <v>0</v>
      </c>
      <c r="AR33" s="17">
        <v>0</v>
      </c>
    </row>
    <row r="34">
      <c r="A34" s="17">
        <v>28</v>
      </c>
      <c r="B34" s="17" t="s">
        <v>155</v>
      </c>
      <c r="C34" s="17" t="s"/>
      <c r="D34" s="17" t="s">
        <v>156</v>
      </c>
      <c r="E34" s="17" t="s">
        <v>113</v>
      </c>
      <c r="F34" s="17" t="s">
        <v>70</v>
      </c>
      <c r="G34" s="17" t="s">
        <v>154</v>
      </c>
      <c r="H34" s="17">
        <v>2293000</v>
      </c>
      <c r="I34" s="17">
        <v>-1596000</v>
      </c>
      <c r="J34" s="17">
        <v>0</v>
      </c>
      <c r="K34" s="17">
        <v>0</v>
      </c>
      <c r="L34" s="17">
        <v>-40000</v>
      </c>
      <c r="M34" s="17">
        <v>0</v>
      </c>
      <c r="N34" s="17">
        <v>0</v>
      </c>
      <c r="O34" s="17">
        <v>0</v>
      </c>
      <c r="P34" s="17">
        <v>0</v>
      </c>
      <c r="Q34" s="17">
        <v>0</v>
      </c>
      <c r="R34" s="17">
        <v>50000</v>
      </c>
      <c r="S34" s="17">
        <v>-50000</v>
      </c>
      <c r="T34" s="17">
        <v>0</v>
      </c>
      <c r="U34" s="17">
        <v>0</v>
      </c>
      <c r="V34" s="17">
        <v>0</v>
      </c>
      <c r="W34" s="17">
        <v>0</v>
      </c>
      <c r="X34" s="17">
        <v>-27594</v>
      </c>
      <c r="Y34" s="17">
        <v>-41391</v>
      </c>
      <c r="Z34" s="17">
        <v>-1250</v>
      </c>
      <c r="AA34" s="17">
        <v>0</v>
      </c>
      <c r="AB34" s="17">
        <v>0</v>
      </c>
      <c r="AC34" s="17">
        <v>0</v>
      </c>
      <c r="AD34" s="17">
        <v>0</v>
      </c>
      <c r="AE34" s="17">
        <v>0</v>
      </c>
      <c r="AF34" s="17">
        <v>0</v>
      </c>
      <c r="AG34" s="17">
        <v>586765</v>
      </c>
      <c r="AH34" s="17" t="s">
        <v>93</v>
      </c>
      <c r="AI34" s="17">
        <v>0</v>
      </c>
      <c r="AJ34" s="17">
        <v>0</v>
      </c>
      <c r="AK34" s="17" t="s">
        <v>66</v>
      </c>
      <c r="AL34" s="17" t="s">
        <v>67</v>
      </c>
      <c r="AM34" s="17" t="s"/>
      <c r="AN34" s="17">
        <v>0</v>
      </c>
      <c r="AO34" s="17">
        <v>0</v>
      </c>
      <c r="AP34" s="17">
        <v>0</v>
      </c>
      <c r="AQ34" s="17">
        <v>0</v>
      </c>
      <c r="AR34" s="17">
        <v>0</v>
      </c>
    </row>
    <row r="35">
      <c r="A35" s="17">
        <v>29</v>
      </c>
      <c r="B35" s="17" t="s">
        <v>157</v>
      </c>
      <c r="C35" s="17" t="s"/>
      <c r="D35" s="17" t="s">
        <v>158</v>
      </c>
      <c r="E35" s="17" t="s">
        <v>129</v>
      </c>
      <c r="F35" s="17" t="s">
        <v>65</v>
      </c>
      <c r="G35" s="17" t="s">
        <v>154</v>
      </c>
      <c r="H35" s="17">
        <v>48000</v>
      </c>
      <c r="I35" s="17">
        <v>-24000</v>
      </c>
      <c r="J35" s="17">
        <v>0</v>
      </c>
      <c r="K35" s="17">
        <v>0</v>
      </c>
      <c r="L35" s="17">
        <v>0</v>
      </c>
      <c r="M35" s="17">
        <v>0</v>
      </c>
      <c r="N35" s="17">
        <v>0</v>
      </c>
      <c r="O35" s="17">
        <v>0</v>
      </c>
      <c r="P35" s="17">
        <v>0</v>
      </c>
      <c r="Q35" s="17">
        <v>0</v>
      </c>
      <c r="R35" s="17">
        <v>3500</v>
      </c>
      <c r="S35" s="17">
        <v>-3500</v>
      </c>
      <c r="T35" s="17">
        <v>0</v>
      </c>
      <c r="U35" s="17">
        <v>0</v>
      </c>
      <c r="V35" s="17">
        <v>0</v>
      </c>
      <c r="W35" s="17">
        <v>-799</v>
      </c>
      <c r="X35" s="17">
        <v>-1008</v>
      </c>
      <c r="Y35" s="17">
        <v>-1512</v>
      </c>
      <c r="Z35" s="17">
        <v>-1250</v>
      </c>
      <c r="AA35" s="17">
        <v>0</v>
      </c>
      <c r="AB35" s="17">
        <v>0</v>
      </c>
      <c r="AC35" s="17">
        <v>0</v>
      </c>
      <c r="AD35" s="17">
        <v>0</v>
      </c>
      <c r="AE35" s="17">
        <v>0</v>
      </c>
      <c r="AF35" s="17">
        <v>0</v>
      </c>
      <c r="AG35" s="17">
        <v>19431</v>
      </c>
      <c r="AH35" s="17" t="s"/>
      <c r="AI35" s="17">
        <v>0</v>
      </c>
      <c r="AJ35" s="17">
        <v>0</v>
      </c>
      <c r="AK35" s="17" t="s">
        <v>79</v>
      </c>
      <c r="AL35" s="17" t="s">
        <v>72</v>
      </c>
      <c r="AM35" s="17" t="s"/>
      <c r="AN35" s="17">
        <v>0</v>
      </c>
      <c r="AO35" s="17">
        <v>0</v>
      </c>
      <c r="AP35" s="17">
        <v>0</v>
      </c>
      <c r="AQ35" s="17">
        <v>0</v>
      </c>
      <c r="AR35" s="17">
        <v>0</v>
      </c>
    </row>
    <row r="36">
      <c r="A36" s="17">
        <v>30</v>
      </c>
      <c r="B36" s="17" t="s">
        <v>159</v>
      </c>
      <c r="C36" s="17" t="s"/>
      <c r="D36" s="17" t="s">
        <v>160</v>
      </c>
      <c r="E36" s="17" t="s">
        <v>84</v>
      </c>
      <c r="F36" s="17" t="s">
        <v>97</v>
      </c>
      <c r="G36" s="17" t="s">
        <v>154</v>
      </c>
      <c r="H36" s="17">
        <v>2341000</v>
      </c>
      <c r="I36" s="17">
        <v>-1621000</v>
      </c>
      <c r="J36" s="17">
        <v>0</v>
      </c>
      <c r="K36" s="17">
        <v>0</v>
      </c>
      <c r="L36" s="17">
        <v>-40000</v>
      </c>
      <c r="M36" s="17">
        <v>0</v>
      </c>
      <c r="N36" s="17">
        <v>0</v>
      </c>
      <c r="O36" s="17">
        <v>0</v>
      </c>
      <c r="P36" s="17">
        <v>8000</v>
      </c>
      <c r="Q36" s="17">
        <v>0</v>
      </c>
      <c r="R36" s="17">
        <v>60000</v>
      </c>
      <c r="S36" s="17">
        <v>-68000</v>
      </c>
      <c r="T36" s="17">
        <v>0</v>
      </c>
      <c r="U36" s="17">
        <v>0</v>
      </c>
      <c r="V36" s="17">
        <v>0</v>
      </c>
      <c r="W36" s="17">
        <v>-19441</v>
      </c>
      <c r="X36" s="17">
        <v>-28560</v>
      </c>
      <c r="Y36" s="17">
        <v>-42840</v>
      </c>
      <c r="Z36" s="17">
        <v>-1250</v>
      </c>
      <c r="AA36" s="17">
        <v>0</v>
      </c>
      <c r="AB36" s="17">
        <v>0</v>
      </c>
      <c r="AC36" s="17">
        <v>0</v>
      </c>
      <c r="AD36" s="17">
        <v>0</v>
      </c>
      <c r="AE36" s="17">
        <v>0</v>
      </c>
      <c r="AF36" s="17">
        <v>0</v>
      </c>
      <c r="AG36" s="17">
        <v>587909</v>
      </c>
      <c r="AH36" s="17" t="s">
        <v>93</v>
      </c>
      <c r="AI36" s="17">
        <v>0</v>
      </c>
      <c r="AJ36" s="17">
        <v>0</v>
      </c>
      <c r="AK36" s="17" t="s">
        <v>66</v>
      </c>
      <c r="AL36" s="17" t="s">
        <v>67</v>
      </c>
      <c r="AM36" s="17" t="s"/>
      <c r="AN36" s="17">
        <v>0</v>
      </c>
      <c r="AO36" s="17">
        <v>0</v>
      </c>
      <c r="AP36" s="17">
        <v>0</v>
      </c>
      <c r="AQ36" s="17">
        <v>0</v>
      </c>
      <c r="AR36" s="17">
        <v>0</v>
      </c>
    </row>
    <row r="37">
      <c r="A37" s="17">
        <v>31</v>
      </c>
      <c r="B37" s="17" t="s">
        <v>161</v>
      </c>
      <c r="C37" s="17" t="s"/>
      <c r="D37" s="17" t="s">
        <v>162</v>
      </c>
      <c r="E37" s="17" t="s">
        <v>122</v>
      </c>
      <c r="F37" s="17" t="s">
        <v>132</v>
      </c>
      <c r="G37" s="17" t="s">
        <v>163</v>
      </c>
      <c r="H37" s="17">
        <v>3339000</v>
      </c>
      <c r="I37" s="17">
        <v>-2190000</v>
      </c>
      <c r="J37" s="17">
        <v>0</v>
      </c>
      <c r="K37" s="17">
        <v>0</v>
      </c>
      <c r="L37" s="17">
        <v>-15000</v>
      </c>
      <c r="M37" s="17">
        <v>0</v>
      </c>
      <c r="N37" s="17">
        <v>0</v>
      </c>
      <c r="O37" s="17">
        <v>0</v>
      </c>
      <c r="P37" s="17">
        <v>0</v>
      </c>
      <c r="Q37" s="17">
        <v>0</v>
      </c>
      <c r="R37" s="17">
        <v>8500</v>
      </c>
      <c r="S37" s="17">
        <v>-8500</v>
      </c>
      <c r="T37" s="17">
        <v>0</v>
      </c>
      <c r="U37" s="17">
        <v>0</v>
      </c>
      <c r="V37" s="17">
        <v>0</v>
      </c>
      <c r="W37" s="17">
        <v>-33599</v>
      </c>
      <c r="X37" s="17">
        <v>-47628</v>
      </c>
      <c r="Y37" s="17">
        <v>-71442</v>
      </c>
      <c r="Z37" s="17">
        <v>-1250</v>
      </c>
      <c r="AA37" s="17">
        <v>0</v>
      </c>
      <c r="AB37" s="17">
        <v>0</v>
      </c>
      <c r="AC37" s="17">
        <v>-25225</v>
      </c>
      <c r="AD37" s="17">
        <v>0</v>
      </c>
      <c r="AE37" s="17">
        <v>0</v>
      </c>
      <c r="AF37" s="17">
        <v>0</v>
      </c>
      <c r="AG37" s="17">
        <v>954856</v>
      </c>
      <c r="AH37" s="17" t="s">
        <v>133</v>
      </c>
      <c r="AI37" s="17">
        <v>0</v>
      </c>
      <c r="AJ37" s="17">
        <v>0</v>
      </c>
      <c r="AK37" s="17" t="s">
        <v>66</v>
      </c>
      <c r="AL37" s="17" t="s">
        <v>67</v>
      </c>
      <c r="AM37" s="17" t="s"/>
      <c r="AN37" s="17">
        <v>0</v>
      </c>
      <c r="AO37" s="17">
        <v>0</v>
      </c>
      <c r="AP37" s="17">
        <v>0</v>
      </c>
      <c r="AQ37" s="17">
        <v>0</v>
      </c>
      <c r="AR37" s="17">
        <v>0</v>
      </c>
    </row>
    <row r="38">
      <c r="A38" s="17">
        <v>32</v>
      </c>
      <c r="B38" s="17" t="s">
        <v>164</v>
      </c>
      <c r="C38" s="17" t="s"/>
      <c r="D38" s="17" t="s">
        <v>165</v>
      </c>
      <c r="E38" s="17" t="s">
        <v>129</v>
      </c>
      <c r="F38" s="17" t="s">
        <v>132</v>
      </c>
      <c r="G38" s="17" t="s">
        <v>163</v>
      </c>
      <c r="H38" s="17">
        <v>48000</v>
      </c>
      <c r="I38" s="17">
        <v>-24000</v>
      </c>
      <c r="J38" s="17">
        <v>0</v>
      </c>
      <c r="K38" s="17">
        <v>0</v>
      </c>
      <c r="L38" s="17">
        <v>0</v>
      </c>
      <c r="M38" s="17">
        <v>0</v>
      </c>
      <c r="N38" s="17">
        <v>0</v>
      </c>
      <c r="O38" s="17">
        <v>0</v>
      </c>
      <c r="P38" s="17">
        <v>0</v>
      </c>
      <c r="Q38" s="17">
        <v>0</v>
      </c>
      <c r="R38" s="17">
        <v>12000</v>
      </c>
      <c r="S38" s="17">
        <v>-12000</v>
      </c>
      <c r="T38" s="17">
        <v>0</v>
      </c>
      <c r="U38" s="17">
        <v>0</v>
      </c>
      <c r="V38" s="17">
        <v>0</v>
      </c>
      <c r="W38" s="17">
        <v>0</v>
      </c>
      <c r="X38" s="17">
        <v>-1008</v>
      </c>
      <c r="Y38" s="17">
        <v>-1512</v>
      </c>
      <c r="Z38" s="17">
        <v>-1250</v>
      </c>
      <c r="AA38" s="17">
        <v>0</v>
      </c>
      <c r="AB38" s="17">
        <v>0</v>
      </c>
      <c r="AC38" s="17">
        <v>0</v>
      </c>
      <c r="AD38" s="17">
        <v>0</v>
      </c>
      <c r="AE38" s="17">
        <v>0</v>
      </c>
      <c r="AF38" s="17">
        <v>0</v>
      </c>
      <c r="AG38" s="17">
        <v>20230</v>
      </c>
      <c r="AH38" s="17" t="s"/>
      <c r="AI38" s="17">
        <v>0</v>
      </c>
      <c r="AJ38" s="17">
        <v>0</v>
      </c>
      <c r="AK38" s="17" t="s">
        <v>79</v>
      </c>
      <c r="AL38" s="17" t="s">
        <v>72</v>
      </c>
      <c r="AM38" s="17" t="s"/>
      <c r="AN38" s="17">
        <v>0</v>
      </c>
      <c r="AO38" s="17">
        <v>0</v>
      </c>
      <c r="AP38" s="17">
        <v>0</v>
      </c>
      <c r="AQ38" s="17">
        <v>0</v>
      </c>
      <c r="AR38" s="17">
        <v>0</v>
      </c>
    </row>
    <row r="39">
      <c r="A39" s="17">
        <v>33</v>
      </c>
      <c r="B39" s="17" t="s">
        <v>166</v>
      </c>
      <c r="C39" s="17" t="s"/>
      <c r="D39" s="17" t="s">
        <v>167</v>
      </c>
      <c r="E39" s="17" t="s">
        <v>168</v>
      </c>
      <c r="F39" s="17" t="s">
        <v>70</v>
      </c>
      <c r="G39" s="17" t="s">
        <v>163</v>
      </c>
      <c r="H39" s="17">
        <v>222000</v>
      </c>
      <c r="I39" s="17">
        <v>-135000</v>
      </c>
      <c r="J39" s="17">
        <v>0</v>
      </c>
      <c r="K39" s="17">
        <v>0</v>
      </c>
      <c r="L39" s="17">
        <v>0</v>
      </c>
      <c r="M39" s="17">
        <v>0</v>
      </c>
      <c r="N39" s="17">
        <v>0</v>
      </c>
      <c r="O39" s="17">
        <v>0</v>
      </c>
      <c r="P39" s="17">
        <v>0</v>
      </c>
      <c r="Q39" s="17">
        <v>0</v>
      </c>
      <c r="R39" s="17">
        <v>6500</v>
      </c>
      <c r="S39" s="17">
        <v>-6500</v>
      </c>
      <c r="T39" s="17">
        <v>0</v>
      </c>
      <c r="U39" s="17">
        <v>0</v>
      </c>
      <c r="V39" s="17">
        <v>0</v>
      </c>
      <c r="W39" s="17">
        <v>0</v>
      </c>
      <c r="X39" s="17">
        <v>-3654</v>
      </c>
      <c r="Y39" s="17">
        <v>-5481</v>
      </c>
      <c r="Z39" s="17">
        <v>-1250</v>
      </c>
      <c r="AA39" s="17">
        <v>0</v>
      </c>
      <c r="AB39" s="17">
        <v>0</v>
      </c>
      <c r="AC39" s="17">
        <v>0</v>
      </c>
      <c r="AD39" s="17">
        <v>0</v>
      </c>
      <c r="AE39" s="17">
        <v>0</v>
      </c>
      <c r="AF39" s="17">
        <v>0</v>
      </c>
      <c r="AG39" s="17">
        <v>76615</v>
      </c>
      <c r="AH39" s="17" t="s"/>
      <c r="AI39" s="17">
        <v>0</v>
      </c>
      <c r="AJ39" s="17">
        <v>0</v>
      </c>
      <c r="AK39" s="17" t="s">
        <v>66</v>
      </c>
      <c r="AL39" s="17" t="s">
        <v>67</v>
      </c>
      <c r="AM39" s="17" t="s"/>
      <c r="AN39" s="17">
        <v>0</v>
      </c>
      <c r="AO39" s="17">
        <v>0</v>
      </c>
      <c r="AP39" s="17">
        <v>0</v>
      </c>
      <c r="AQ39" s="17">
        <v>0</v>
      </c>
      <c r="AR39" s="17">
        <v>0</v>
      </c>
    </row>
    <row r="40">
      <c r="A40" s="17">
        <v>34</v>
      </c>
      <c r="B40" s="17" t="s">
        <v>169</v>
      </c>
      <c r="C40" s="17" t="s"/>
      <c r="D40" s="17" t="s">
        <v>167</v>
      </c>
      <c r="E40" s="17" t="s">
        <v>168</v>
      </c>
      <c r="F40" s="17" t="s">
        <v>97</v>
      </c>
      <c r="G40" s="17" t="s">
        <v>163</v>
      </c>
      <c r="H40" s="17">
        <v>222000</v>
      </c>
      <c r="I40" s="17">
        <v>-135000</v>
      </c>
      <c r="J40" s="17">
        <v>0</v>
      </c>
      <c r="K40" s="17">
        <v>0</v>
      </c>
      <c r="L40" s="17">
        <v>0</v>
      </c>
      <c r="M40" s="17">
        <v>0</v>
      </c>
      <c r="N40" s="17">
        <v>0</v>
      </c>
      <c r="O40" s="17">
        <v>0</v>
      </c>
      <c r="P40" s="17">
        <v>0</v>
      </c>
      <c r="Q40" s="17">
        <v>0</v>
      </c>
      <c r="R40" s="17">
        <v>6500</v>
      </c>
      <c r="S40" s="17">
        <v>-6500</v>
      </c>
      <c r="T40" s="17">
        <v>0</v>
      </c>
      <c r="U40" s="17">
        <v>0</v>
      </c>
      <c r="V40" s="17">
        <v>0</v>
      </c>
      <c r="W40" s="17">
        <v>0</v>
      </c>
      <c r="X40" s="17">
        <v>-3654</v>
      </c>
      <c r="Y40" s="17">
        <v>-5481</v>
      </c>
      <c r="Z40" s="17">
        <v>-1250</v>
      </c>
      <c r="AA40" s="17">
        <v>0</v>
      </c>
      <c r="AB40" s="17">
        <v>0</v>
      </c>
      <c r="AC40" s="17">
        <v>0</v>
      </c>
      <c r="AD40" s="17">
        <v>0</v>
      </c>
      <c r="AE40" s="17">
        <v>0</v>
      </c>
      <c r="AF40" s="17">
        <v>0</v>
      </c>
      <c r="AG40" s="17">
        <v>76615</v>
      </c>
      <c r="AH40" s="17" t="s"/>
      <c r="AI40" s="17">
        <v>0</v>
      </c>
      <c r="AJ40" s="17">
        <v>0</v>
      </c>
      <c r="AK40" s="17" t="s">
        <v>66</v>
      </c>
      <c r="AL40" s="17" t="s">
        <v>67</v>
      </c>
      <c r="AM40" s="17" t="s"/>
      <c r="AN40" s="17">
        <v>0</v>
      </c>
      <c r="AO40" s="17">
        <v>0</v>
      </c>
      <c r="AP40" s="17">
        <v>0</v>
      </c>
      <c r="AQ40" s="17">
        <v>0</v>
      </c>
      <c r="AR40" s="17">
        <v>0</v>
      </c>
    </row>
    <row r="41">
      <c r="A41" s="17">
        <v>35</v>
      </c>
      <c r="B41" s="17" t="s">
        <v>170</v>
      </c>
      <c r="C41" s="17" t="s"/>
      <c r="D41" s="17" t="s">
        <v>171</v>
      </c>
      <c r="E41" s="17" t="s">
        <v>116</v>
      </c>
      <c r="F41" s="17" t="s">
        <v>147</v>
      </c>
      <c r="G41" s="17" t="s">
        <v>172</v>
      </c>
      <c r="H41" s="17">
        <v>9745250</v>
      </c>
      <c r="I41" s="17">
        <v>-6455250</v>
      </c>
      <c r="J41" s="17">
        <v>0</v>
      </c>
      <c r="K41" s="17">
        <v>0</v>
      </c>
      <c r="L41" s="17">
        <v>-20000</v>
      </c>
      <c r="M41" s="17">
        <v>0</v>
      </c>
      <c r="N41" s="17">
        <v>0</v>
      </c>
      <c r="O41" s="17">
        <v>0</v>
      </c>
      <c r="P41" s="17">
        <v>0</v>
      </c>
      <c r="Q41" s="17">
        <v>0</v>
      </c>
      <c r="R41" s="17">
        <v>21999</v>
      </c>
      <c r="S41" s="17">
        <v>-21999</v>
      </c>
      <c r="T41" s="17">
        <v>0</v>
      </c>
      <c r="U41" s="17">
        <v>0</v>
      </c>
      <c r="V41" s="17">
        <v>0</v>
      </c>
      <c r="W41" s="17">
        <v>-100180</v>
      </c>
      <c r="X41" s="17">
        <v>-137340</v>
      </c>
      <c r="Y41" s="17">
        <v>-110000</v>
      </c>
      <c r="Z41" s="17">
        <v>-1250</v>
      </c>
      <c r="AA41" s="17">
        <v>0</v>
      </c>
      <c r="AB41" s="17">
        <v>0</v>
      </c>
      <c r="AC41" s="17">
        <v>0</v>
      </c>
      <c r="AD41" s="17">
        <v>0</v>
      </c>
      <c r="AE41" s="17">
        <v>0</v>
      </c>
      <c r="AF41" s="17">
        <v>0</v>
      </c>
      <c r="AG41" s="17">
        <v>2921230</v>
      </c>
      <c r="AH41" s="17" t="s">
        <v>98</v>
      </c>
      <c r="AI41" s="17">
        <v>0</v>
      </c>
      <c r="AJ41" s="17">
        <v>0</v>
      </c>
      <c r="AK41" s="17" t="s">
        <v>66</v>
      </c>
      <c r="AL41" s="17" t="s">
        <v>173</v>
      </c>
      <c r="AM41" s="17" t="s"/>
      <c r="AN41" s="17">
        <v>0</v>
      </c>
      <c r="AO41" s="17">
        <v>0</v>
      </c>
      <c r="AP41" s="17">
        <v>0</v>
      </c>
      <c r="AQ41" s="17">
        <v>0</v>
      </c>
      <c r="AR41" s="17">
        <v>0</v>
      </c>
    </row>
    <row r="42">
      <c r="A42" s="17">
        <v>36</v>
      </c>
      <c r="B42" s="17" t="s">
        <v>174</v>
      </c>
      <c r="C42" s="17" t="s"/>
      <c r="D42" s="17" t="s">
        <v>175</v>
      </c>
      <c r="E42" s="17" t="s">
        <v>142</v>
      </c>
      <c r="F42" s="17" t="s">
        <v>132</v>
      </c>
      <c r="G42" s="17" t="s">
        <v>172</v>
      </c>
      <c r="H42" s="17">
        <v>222000</v>
      </c>
      <c r="I42" s="17">
        <v>-135000</v>
      </c>
      <c r="J42" s="17">
        <v>0</v>
      </c>
      <c r="K42" s="17">
        <v>0</v>
      </c>
      <c r="L42" s="17">
        <v>0</v>
      </c>
      <c r="M42" s="17">
        <v>0</v>
      </c>
      <c r="N42" s="17">
        <v>0</v>
      </c>
      <c r="O42" s="17">
        <v>0</v>
      </c>
      <c r="P42" s="17">
        <v>0</v>
      </c>
      <c r="Q42" s="17">
        <v>0</v>
      </c>
      <c r="R42" s="17">
        <v>8000</v>
      </c>
      <c r="S42" s="17">
        <v>-8000</v>
      </c>
      <c r="T42" s="17">
        <v>0</v>
      </c>
      <c r="U42" s="17">
        <v>0</v>
      </c>
      <c r="V42" s="17">
        <v>0</v>
      </c>
      <c r="W42" s="17">
        <v>0</v>
      </c>
      <c r="X42" s="17">
        <v>-3654</v>
      </c>
      <c r="Y42" s="17">
        <v>-5481</v>
      </c>
      <c r="Z42" s="17">
        <v>-1250</v>
      </c>
      <c r="AA42" s="17">
        <v>0</v>
      </c>
      <c r="AB42" s="17">
        <v>0</v>
      </c>
      <c r="AC42" s="17">
        <v>-2001</v>
      </c>
      <c r="AD42" s="17">
        <v>0</v>
      </c>
      <c r="AE42" s="17">
        <v>0</v>
      </c>
      <c r="AF42" s="17">
        <v>0</v>
      </c>
      <c r="AG42" s="17">
        <v>74614</v>
      </c>
      <c r="AH42" s="17" t="s"/>
      <c r="AI42" s="17">
        <v>0</v>
      </c>
      <c r="AJ42" s="17">
        <v>0</v>
      </c>
      <c r="AK42" s="17" t="s">
        <v>66</v>
      </c>
      <c r="AL42" s="17" t="s">
        <v>67</v>
      </c>
      <c r="AM42" s="17" t="s"/>
      <c r="AN42" s="17">
        <v>0</v>
      </c>
      <c r="AO42" s="17">
        <v>0</v>
      </c>
      <c r="AP42" s="17">
        <v>0</v>
      </c>
      <c r="AQ42" s="17">
        <v>0</v>
      </c>
      <c r="AR42" s="17">
        <v>0</v>
      </c>
    </row>
    <row r="43">
      <c r="A43" s="17">
        <v>37</v>
      </c>
      <c r="B43" s="17" t="s">
        <v>176</v>
      </c>
      <c r="C43" s="17" t="s"/>
      <c r="D43" s="17" t="s">
        <v>177</v>
      </c>
      <c r="E43" s="17" t="s">
        <v>116</v>
      </c>
      <c r="F43" s="17" t="s">
        <v>132</v>
      </c>
      <c r="G43" s="17" t="s">
        <v>178</v>
      </c>
      <c r="H43" s="17">
        <v>746000</v>
      </c>
      <c r="I43" s="17">
        <v>-24000</v>
      </c>
      <c r="J43" s="17">
        <v>0</v>
      </c>
      <c r="K43" s="17">
        <v>0</v>
      </c>
      <c r="L43" s="17">
        <v>-40000</v>
      </c>
      <c r="M43" s="17">
        <v>0</v>
      </c>
      <c r="N43" s="17">
        <v>0</v>
      </c>
      <c r="O43" s="17">
        <v>0</v>
      </c>
      <c r="P43" s="17">
        <v>0</v>
      </c>
      <c r="Q43" s="17">
        <v>0</v>
      </c>
      <c r="R43" s="17">
        <v>62000</v>
      </c>
      <c r="S43" s="17">
        <v>-62000</v>
      </c>
      <c r="T43" s="17">
        <v>0</v>
      </c>
      <c r="U43" s="17">
        <v>0</v>
      </c>
      <c r="V43" s="17">
        <v>0</v>
      </c>
      <c r="W43" s="17">
        <v>0</v>
      </c>
      <c r="X43" s="17">
        <v>-28644</v>
      </c>
      <c r="Y43" s="17">
        <v>-42966</v>
      </c>
      <c r="Z43" s="17">
        <v>-1250</v>
      </c>
      <c r="AA43" s="17">
        <v>0</v>
      </c>
      <c r="AB43" s="17">
        <v>0</v>
      </c>
      <c r="AC43" s="17">
        <v>0</v>
      </c>
      <c r="AD43" s="17">
        <v>0</v>
      </c>
      <c r="AE43" s="17">
        <v>0</v>
      </c>
      <c r="AF43" s="17">
        <v>0</v>
      </c>
      <c r="AG43" s="17">
        <v>609140</v>
      </c>
      <c r="AH43" s="17" t="s">
        <v>93</v>
      </c>
      <c r="AI43" s="17">
        <v>0</v>
      </c>
      <c r="AJ43" s="17">
        <v>0</v>
      </c>
      <c r="AK43" s="17" t="s">
        <v>66</v>
      </c>
      <c r="AL43" s="17" t="s">
        <v>67</v>
      </c>
      <c r="AM43" s="17" t="s"/>
      <c r="AN43" s="17">
        <v>0</v>
      </c>
      <c r="AO43" s="17">
        <v>0</v>
      </c>
      <c r="AP43" s="17">
        <v>0</v>
      </c>
      <c r="AQ43" s="17">
        <v>0</v>
      </c>
      <c r="AR43" s="17">
        <v>0</v>
      </c>
    </row>
    <row r="44">
      <c r="A44" s="17">
        <v>38</v>
      </c>
      <c r="B44" s="17" t="s">
        <v>179</v>
      </c>
      <c r="C44" s="17" t="s"/>
      <c r="D44" s="17" t="s">
        <v>180</v>
      </c>
      <c r="E44" s="17" t="s">
        <v>154</v>
      </c>
      <c r="F44" s="17" t="s">
        <v>132</v>
      </c>
      <c r="G44" s="17" t="s">
        <v>178</v>
      </c>
      <c r="H44" s="17">
        <v>1459000</v>
      </c>
      <c r="I44" s="17">
        <v>0</v>
      </c>
      <c r="J44" s="17">
        <v>0</v>
      </c>
      <c r="K44" s="17">
        <v>0</v>
      </c>
      <c r="L44" s="17">
        <v>-20000</v>
      </c>
      <c r="M44" s="17">
        <v>0</v>
      </c>
      <c r="N44" s="17">
        <v>0</v>
      </c>
      <c r="O44" s="17">
        <v>0</v>
      </c>
      <c r="P44" s="17">
        <v>84000</v>
      </c>
      <c r="Q44" s="17">
        <v>0</v>
      </c>
      <c r="R44" s="17">
        <v>60000</v>
      </c>
      <c r="S44" s="17">
        <v>-144000</v>
      </c>
      <c r="T44" s="17">
        <v>0</v>
      </c>
      <c r="U44" s="17">
        <v>0</v>
      </c>
      <c r="V44" s="17">
        <v>0</v>
      </c>
      <c r="W44" s="17">
        <v>0</v>
      </c>
      <c r="X44" s="17">
        <v>-60438</v>
      </c>
      <c r="Y44" s="17">
        <v>-85902</v>
      </c>
      <c r="Z44" s="17">
        <v>-1250</v>
      </c>
      <c r="AA44" s="17">
        <v>0</v>
      </c>
      <c r="AB44" s="17">
        <v>0</v>
      </c>
      <c r="AC44" s="17">
        <v>-33758</v>
      </c>
      <c r="AD44" s="17">
        <v>0</v>
      </c>
      <c r="AE44" s="17">
        <v>0</v>
      </c>
      <c r="AF44" s="17">
        <v>0</v>
      </c>
      <c r="AG44" s="17">
        <v>1257652</v>
      </c>
      <c r="AH44" s="17" t="s">
        <v>98</v>
      </c>
      <c r="AI44" s="17">
        <v>0</v>
      </c>
      <c r="AJ44" s="17">
        <v>0</v>
      </c>
      <c r="AK44" s="17" t="s">
        <v>66</v>
      </c>
      <c r="AL44" s="17" t="s">
        <v>181</v>
      </c>
      <c r="AM44" s="17" t="s"/>
      <c r="AN44" s="17">
        <v>0</v>
      </c>
      <c r="AO44" s="17">
        <v>0</v>
      </c>
      <c r="AP44" s="17">
        <v>0</v>
      </c>
      <c r="AQ44" s="17">
        <v>0</v>
      </c>
      <c r="AR44" s="17">
        <v>0</v>
      </c>
    </row>
    <row r="45">
      <c r="A45" s="17">
        <v>39</v>
      </c>
      <c r="B45" s="17" t="s">
        <v>182</v>
      </c>
      <c r="C45" s="17" t="s"/>
      <c r="D45" s="17" t="s">
        <v>183</v>
      </c>
      <c r="E45" s="17" t="s">
        <v>172</v>
      </c>
      <c r="F45" s="17" t="s">
        <v>132</v>
      </c>
      <c r="G45" s="17" t="s">
        <v>178</v>
      </c>
      <c r="H45" s="17">
        <v>698000</v>
      </c>
      <c r="I45" s="17">
        <v>0</v>
      </c>
      <c r="J45" s="17">
        <v>0</v>
      </c>
      <c r="K45" s="17">
        <v>0</v>
      </c>
      <c r="L45" s="17">
        <v>-40000</v>
      </c>
      <c r="M45" s="17">
        <v>0</v>
      </c>
      <c r="N45" s="17">
        <v>0</v>
      </c>
      <c r="O45" s="17">
        <v>0</v>
      </c>
      <c r="P45" s="17">
        <v>0</v>
      </c>
      <c r="Q45" s="17">
        <v>0</v>
      </c>
      <c r="R45" s="17">
        <v>33000</v>
      </c>
      <c r="S45" s="17">
        <v>-33000</v>
      </c>
      <c r="T45" s="17">
        <v>0</v>
      </c>
      <c r="U45" s="17">
        <v>0</v>
      </c>
      <c r="V45" s="17">
        <v>0</v>
      </c>
      <c r="W45" s="17">
        <v>-18525</v>
      </c>
      <c r="X45" s="17">
        <v>-27636</v>
      </c>
      <c r="Y45" s="17">
        <v>-41454</v>
      </c>
      <c r="Z45" s="17">
        <v>-1250</v>
      </c>
      <c r="AA45" s="17">
        <v>0</v>
      </c>
      <c r="AB45" s="17">
        <v>0</v>
      </c>
      <c r="AC45" s="17">
        <v>-13908</v>
      </c>
      <c r="AD45" s="17">
        <v>0</v>
      </c>
      <c r="AE45" s="17">
        <v>0</v>
      </c>
      <c r="AF45" s="17">
        <v>0</v>
      </c>
      <c r="AG45" s="17">
        <v>555227</v>
      </c>
      <c r="AH45" s="17" t="s">
        <v>93</v>
      </c>
      <c r="AI45" s="17">
        <v>0</v>
      </c>
      <c r="AJ45" s="17">
        <v>0</v>
      </c>
      <c r="AK45" s="17" t="s">
        <v>123</v>
      </c>
      <c r="AL45" s="17" t="s">
        <v>124</v>
      </c>
      <c r="AM45" s="17" t="s"/>
      <c r="AN45" s="17">
        <v>0</v>
      </c>
      <c r="AO45" s="17">
        <v>0</v>
      </c>
      <c r="AP45" s="17">
        <v>0</v>
      </c>
      <c r="AQ45" s="17">
        <v>0</v>
      </c>
      <c r="AR45" s="17">
        <v>0</v>
      </c>
    </row>
    <row r="46">
      <c r="A46" s="17">
        <v>40</v>
      </c>
      <c r="B46" s="17" t="s">
        <v>184</v>
      </c>
      <c r="C46" s="17" t="s"/>
      <c r="D46" s="17" t="s">
        <v>185</v>
      </c>
      <c r="E46" s="17" t="s">
        <v>116</v>
      </c>
      <c r="F46" s="17" t="s">
        <v>65</v>
      </c>
      <c r="G46" s="17" t="s">
        <v>178</v>
      </c>
      <c r="H46" s="17">
        <v>48000</v>
      </c>
      <c r="I46" s="17">
        <v>-24000</v>
      </c>
      <c r="J46" s="17">
        <v>0</v>
      </c>
      <c r="K46" s="17">
        <v>0</v>
      </c>
      <c r="L46" s="17">
        <v>0</v>
      </c>
      <c r="M46" s="17">
        <v>0</v>
      </c>
      <c r="N46" s="17">
        <v>0</v>
      </c>
      <c r="O46" s="17">
        <v>0</v>
      </c>
      <c r="P46" s="17">
        <v>0</v>
      </c>
      <c r="Q46" s="17">
        <v>0</v>
      </c>
      <c r="R46" s="17">
        <v>11000</v>
      </c>
      <c r="S46" s="17">
        <v>-11000</v>
      </c>
      <c r="T46" s="17">
        <v>0</v>
      </c>
      <c r="U46" s="17">
        <v>0</v>
      </c>
      <c r="V46" s="17">
        <v>0</v>
      </c>
      <c r="W46" s="17">
        <v>0</v>
      </c>
      <c r="X46" s="17">
        <v>-1008</v>
      </c>
      <c r="Y46" s="17">
        <v>-1512</v>
      </c>
      <c r="Z46" s="17">
        <v>-1250</v>
      </c>
      <c r="AA46" s="17">
        <v>0</v>
      </c>
      <c r="AB46" s="17">
        <v>0</v>
      </c>
      <c r="AC46" s="17">
        <v>0</v>
      </c>
      <c r="AD46" s="17">
        <v>0</v>
      </c>
      <c r="AE46" s="17">
        <v>0</v>
      </c>
      <c r="AF46" s="17">
        <v>0</v>
      </c>
      <c r="AG46" s="17">
        <v>20230</v>
      </c>
      <c r="AH46" s="17" t="s"/>
      <c r="AI46" s="17">
        <v>0</v>
      </c>
      <c r="AJ46" s="17">
        <v>0</v>
      </c>
      <c r="AK46" s="17" t="s">
        <v>79</v>
      </c>
      <c r="AL46" s="17" t="s">
        <v>72</v>
      </c>
      <c r="AM46" s="17" t="s"/>
      <c r="AN46" s="17">
        <v>0</v>
      </c>
      <c r="AO46" s="17">
        <v>0</v>
      </c>
      <c r="AP46" s="17">
        <v>0</v>
      </c>
      <c r="AQ46" s="17">
        <v>0</v>
      </c>
      <c r="AR46" s="17">
        <v>0</v>
      </c>
    </row>
    <row r="47">
      <c r="A47" s="17">
        <v>41</v>
      </c>
      <c r="B47" s="17" t="s">
        <v>186</v>
      </c>
      <c r="C47" s="17" t="s"/>
      <c r="D47" s="17" t="s">
        <v>187</v>
      </c>
      <c r="E47" s="17" t="s">
        <v>163</v>
      </c>
      <c r="F47" s="17" t="s">
        <v>65</v>
      </c>
      <c r="G47" s="17" t="s">
        <v>188</v>
      </c>
      <c r="H47" s="17">
        <v>222000</v>
      </c>
      <c r="I47" s="17">
        <v>-135000</v>
      </c>
      <c r="J47" s="17">
        <v>0</v>
      </c>
      <c r="K47" s="17">
        <v>0</v>
      </c>
      <c r="L47" s="17">
        <v>0</v>
      </c>
      <c r="M47" s="17">
        <v>0</v>
      </c>
      <c r="N47" s="17">
        <v>0</v>
      </c>
      <c r="O47" s="17">
        <v>0</v>
      </c>
      <c r="P47" s="17">
        <v>0</v>
      </c>
      <c r="Q47" s="17">
        <v>0</v>
      </c>
      <c r="R47" s="17">
        <v>6500</v>
      </c>
      <c r="S47" s="17">
        <v>-6500</v>
      </c>
      <c r="T47" s="17">
        <v>0</v>
      </c>
      <c r="U47" s="17">
        <v>0</v>
      </c>
      <c r="V47" s="17">
        <v>0</v>
      </c>
      <c r="W47" s="17">
        <v>-2665</v>
      </c>
      <c r="X47" s="17">
        <v>-3654</v>
      </c>
      <c r="Y47" s="17">
        <v>-5481</v>
      </c>
      <c r="Z47" s="17">
        <v>-1250</v>
      </c>
      <c r="AA47" s="17">
        <v>0</v>
      </c>
      <c r="AB47" s="17">
        <v>0</v>
      </c>
      <c r="AC47" s="17">
        <v>0</v>
      </c>
      <c r="AD47" s="17">
        <v>0</v>
      </c>
      <c r="AE47" s="17">
        <v>0</v>
      </c>
      <c r="AF47" s="17">
        <v>0</v>
      </c>
      <c r="AG47" s="17">
        <v>73950</v>
      </c>
      <c r="AH47" s="17" t="s"/>
      <c r="AI47" s="17">
        <v>0</v>
      </c>
      <c r="AJ47" s="17">
        <v>0</v>
      </c>
      <c r="AK47" s="17" t="s">
        <v>66</v>
      </c>
      <c r="AL47" s="17" t="s">
        <v>67</v>
      </c>
      <c r="AM47" s="17" t="s"/>
      <c r="AN47" s="17">
        <v>0</v>
      </c>
      <c r="AO47" s="17">
        <v>0</v>
      </c>
      <c r="AP47" s="17">
        <v>0</v>
      </c>
      <c r="AQ47" s="17">
        <v>0</v>
      </c>
      <c r="AR47" s="17">
        <v>0</v>
      </c>
    </row>
    <row r="48">
      <c r="A48" s="17">
        <v>42</v>
      </c>
      <c r="B48" s="17" t="s">
        <v>189</v>
      </c>
      <c r="C48" s="17" t="s"/>
      <c r="D48" s="17" t="s">
        <v>190</v>
      </c>
      <c r="E48" s="17" t="s">
        <v>129</v>
      </c>
      <c r="F48" s="17" t="s">
        <v>97</v>
      </c>
      <c r="G48" s="17" t="s">
        <v>188</v>
      </c>
      <c r="H48" s="17">
        <v>2293000</v>
      </c>
      <c r="I48" s="17">
        <v>-1596000</v>
      </c>
      <c r="J48" s="17">
        <v>0</v>
      </c>
      <c r="K48" s="17">
        <v>0</v>
      </c>
      <c r="L48" s="17">
        <v>-40000</v>
      </c>
      <c r="M48" s="17">
        <v>0</v>
      </c>
      <c r="N48" s="17">
        <v>0</v>
      </c>
      <c r="O48" s="17">
        <v>0</v>
      </c>
      <c r="P48" s="17">
        <v>0</v>
      </c>
      <c r="Q48" s="17">
        <v>0</v>
      </c>
      <c r="R48" s="17">
        <v>14000</v>
      </c>
      <c r="S48" s="17">
        <v>-14000</v>
      </c>
      <c r="T48" s="17">
        <v>0</v>
      </c>
      <c r="U48" s="17">
        <v>0</v>
      </c>
      <c r="V48" s="17">
        <v>0</v>
      </c>
      <c r="W48" s="17">
        <v>0</v>
      </c>
      <c r="X48" s="17">
        <v>-27594</v>
      </c>
      <c r="Y48" s="17">
        <v>-41391</v>
      </c>
      <c r="Z48" s="17">
        <v>-1250</v>
      </c>
      <c r="AA48" s="17">
        <v>0</v>
      </c>
      <c r="AB48" s="17">
        <v>0</v>
      </c>
      <c r="AC48" s="17">
        <v>0</v>
      </c>
      <c r="AD48" s="17">
        <v>0</v>
      </c>
      <c r="AE48" s="17">
        <v>0</v>
      </c>
      <c r="AF48" s="17">
        <v>0</v>
      </c>
      <c r="AG48" s="17">
        <v>586765</v>
      </c>
      <c r="AH48" s="17" t="s">
        <v>93</v>
      </c>
      <c r="AI48" s="17">
        <v>0</v>
      </c>
      <c r="AJ48" s="17">
        <v>0</v>
      </c>
      <c r="AK48" s="17" t="s">
        <v>148</v>
      </c>
      <c r="AL48" s="17" t="s">
        <v>149</v>
      </c>
      <c r="AM48" s="17" t="s"/>
      <c r="AN48" s="17">
        <v>0</v>
      </c>
      <c r="AO48" s="17">
        <v>0</v>
      </c>
      <c r="AP48" s="17">
        <v>0</v>
      </c>
      <c r="AQ48" s="17">
        <v>0</v>
      </c>
      <c r="AR48" s="17">
        <v>0</v>
      </c>
    </row>
    <row r="49">
      <c r="A49" s="17">
        <v>43</v>
      </c>
      <c r="B49" s="17" t="s">
        <v>191</v>
      </c>
      <c r="C49" s="17" t="s"/>
      <c r="D49" s="17" t="s">
        <v>192</v>
      </c>
      <c r="E49" s="17" t="s">
        <v>142</v>
      </c>
      <c r="F49" s="17" t="s">
        <v>70</v>
      </c>
      <c r="G49" s="17" t="s">
        <v>188</v>
      </c>
      <c r="H49" s="17">
        <v>901195</v>
      </c>
      <c r="I49" s="17">
        <v>-37000</v>
      </c>
      <c r="J49" s="17">
        <v>0</v>
      </c>
      <c r="K49" s="17">
        <v>0</v>
      </c>
      <c r="L49" s="17">
        <v>-20000</v>
      </c>
      <c r="M49" s="17">
        <v>0</v>
      </c>
      <c r="N49" s="17">
        <v>0</v>
      </c>
      <c r="O49" s="17">
        <v>0</v>
      </c>
      <c r="P49" s="17">
        <v>0</v>
      </c>
      <c r="Q49" s="17">
        <v>0</v>
      </c>
      <c r="R49" s="17">
        <v>36000</v>
      </c>
      <c r="S49" s="17">
        <v>-36000</v>
      </c>
      <c r="T49" s="17">
        <v>0</v>
      </c>
      <c r="U49" s="17">
        <v>0</v>
      </c>
      <c r="V49" s="17">
        <v>0</v>
      </c>
      <c r="W49" s="17">
        <v>0</v>
      </c>
      <c r="X49" s="17">
        <v>-35784</v>
      </c>
      <c r="Y49" s="17">
        <v>-53185</v>
      </c>
      <c r="Z49" s="17">
        <v>-1250</v>
      </c>
      <c r="AA49" s="17">
        <v>0</v>
      </c>
      <c r="AB49" s="17">
        <v>0</v>
      </c>
      <c r="AC49" s="17">
        <v>0</v>
      </c>
      <c r="AD49" s="17">
        <v>0</v>
      </c>
      <c r="AE49" s="17">
        <v>0</v>
      </c>
      <c r="AF49" s="17">
        <v>0</v>
      </c>
      <c r="AG49" s="17">
        <v>753976</v>
      </c>
      <c r="AH49" s="17" t="s">
        <v>98</v>
      </c>
      <c r="AI49" s="17">
        <v>0</v>
      </c>
      <c r="AJ49" s="17">
        <v>0</v>
      </c>
      <c r="AK49" s="17" t="s">
        <v>66</v>
      </c>
      <c r="AL49" s="17" t="s">
        <v>67</v>
      </c>
      <c r="AM49" s="17" t="s"/>
      <c r="AN49" s="17">
        <v>0</v>
      </c>
      <c r="AO49" s="17">
        <v>0</v>
      </c>
      <c r="AP49" s="17">
        <v>0</v>
      </c>
      <c r="AQ49" s="17">
        <v>0</v>
      </c>
      <c r="AR49" s="17">
        <v>0</v>
      </c>
    </row>
    <row r="50">
      <c r="A50" s="17">
        <v>44</v>
      </c>
      <c r="B50" s="17" t="s">
        <v>193</v>
      </c>
      <c r="C50" s="17" t="s"/>
      <c r="D50" s="17" t="s">
        <v>194</v>
      </c>
      <c r="E50" s="17" t="s">
        <v>119</v>
      </c>
      <c r="F50" s="17" t="s">
        <v>97</v>
      </c>
      <c r="G50" s="17" t="s">
        <v>188</v>
      </c>
      <c r="H50" s="17">
        <v>48000</v>
      </c>
      <c r="I50" s="17">
        <v>-12000</v>
      </c>
      <c r="J50" s="17">
        <v>0</v>
      </c>
      <c r="K50" s="17">
        <v>0</v>
      </c>
      <c r="L50" s="17">
        <v>0</v>
      </c>
      <c r="M50" s="17">
        <v>0</v>
      </c>
      <c r="N50" s="17">
        <v>0</v>
      </c>
      <c r="O50" s="17">
        <v>0</v>
      </c>
      <c r="P50" s="17">
        <v>0</v>
      </c>
      <c r="Q50" s="17">
        <v>0</v>
      </c>
      <c r="R50" s="17">
        <v>3500</v>
      </c>
      <c r="S50" s="17">
        <v>-3500</v>
      </c>
      <c r="T50" s="17">
        <v>0</v>
      </c>
      <c r="U50" s="17">
        <v>0</v>
      </c>
      <c r="V50" s="17">
        <v>0</v>
      </c>
      <c r="W50" s="17">
        <v>0</v>
      </c>
      <c r="X50" s="17">
        <v>-1512</v>
      </c>
      <c r="Y50" s="17">
        <v>-2268</v>
      </c>
      <c r="Z50" s="17">
        <v>-1250</v>
      </c>
      <c r="AA50" s="17">
        <v>0</v>
      </c>
      <c r="AB50" s="17">
        <v>0</v>
      </c>
      <c r="AC50" s="17">
        <v>0</v>
      </c>
      <c r="AD50" s="17">
        <v>0</v>
      </c>
      <c r="AE50" s="17">
        <v>0</v>
      </c>
      <c r="AF50" s="17">
        <v>0</v>
      </c>
      <c r="AG50" s="17">
        <v>30970</v>
      </c>
      <c r="AH50" s="17" t="s"/>
      <c r="AI50" s="17">
        <v>0</v>
      </c>
      <c r="AJ50" s="17">
        <v>0</v>
      </c>
      <c r="AK50" s="17" t="s">
        <v>79</v>
      </c>
      <c r="AL50" s="17" t="s">
        <v>80</v>
      </c>
      <c r="AM50" s="17" t="s"/>
      <c r="AN50" s="17">
        <v>0</v>
      </c>
      <c r="AO50" s="17">
        <v>0</v>
      </c>
      <c r="AP50" s="17">
        <v>0</v>
      </c>
      <c r="AQ50" s="17">
        <v>0</v>
      </c>
      <c r="AR50" s="17">
        <v>0</v>
      </c>
    </row>
    <row r="51">
      <c r="A51" s="17">
        <v>45</v>
      </c>
      <c r="B51" s="17" t="s">
        <v>195</v>
      </c>
      <c r="C51" s="17" t="s"/>
      <c r="D51" s="17" t="s">
        <v>196</v>
      </c>
      <c r="E51" s="17" t="s">
        <v>168</v>
      </c>
      <c r="F51" s="17" t="s">
        <v>70</v>
      </c>
      <c r="G51" s="17" t="s">
        <v>188</v>
      </c>
      <c r="H51" s="17">
        <v>222000</v>
      </c>
      <c r="I51" s="17">
        <v>-135000</v>
      </c>
      <c r="J51" s="17">
        <v>0</v>
      </c>
      <c r="K51" s="17">
        <v>0</v>
      </c>
      <c r="L51" s="17">
        <v>0</v>
      </c>
      <c r="M51" s="17">
        <v>0</v>
      </c>
      <c r="N51" s="17">
        <v>0</v>
      </c>
      <c r="O51" s="17">
        <v>0</v>
      </c>
      <c r="P51" s="17">
        <v>0</v>
      </c>
      <c r="Q51" s="17">
        <v>0</v>
      </c>
      <c r="R51" s="17">
        <v>6500</v>
      </c>
      <c r="S51" s="17">
        <v>-6500</v>
      </c>
      <c r="T51" s="17">
        <v>0</v>
      </c>
      <c r="U51" s="17">
        <v>0</v>
      </c>
      <c r="V51" s="17">
        <v>0</v>
      </c>
      <c r="W51" s="17">
        <v>0</v>
      </c>
      <c r="X51" s="17">
        <v>-3654</v>
      </c>
      <c r="Y51" s="17">
        <v>-5481</v>
      </c>
      <c r="Z51" s="17">
        <v>-1250</v>
      </c>
      <c r="AA51" s="17">
        <v>0</v>
      </c>
      <c r="AB51" s="17">
        <v>0</v>
      </c>
      <c r="AC51" s="17">
        <v>0</v>
      </c>
      <c r="AD51" s="17">
        <v>0</v>
      </c>
      <c r="AE51" s="17">
        <v>0</v>
      </c>
      <c r="AF51" s="17">
        <v>0</v>
      </c>
      <c r="AG51" s="17">
        <v>76615</v>
      </c>
      <c r="AH51" s="17" t="s"/>
      <c r="AI51" s="17">
        <v>0</v>
      </c>
      <c r="AJ51" s="17">
        <v>0</v>
      </c>
      <c r="AK51" s="17" t="s">
        <v>66</v>
      </c>
      <c r="AL51" s="17" t="s">
        <v>67</v>
      </c>
      <c r="AM51" s="17" t="s"/>
      <c r="AN51" s="17">
        <v>0</v>
      </c>
      <c r="AO51" s="17">
        <v>0</v>
      </c>
      <c r="AP51" s="17">
        <v>0</v>
      </c>
      <c r="AQ51" s="17">
        <v>0</v>
      </c>
      <c r="AR51" s="17">
        <v>0</v>
      </c>
    </row>
    <row r="52">
      <c r="A52" s="17">
        <v>46</v>
      </c>
      <c r="B52" s="17" t="s">
        <v>197</v>
      </c>
      <c r="C52" s="17" t="s"/>
      <c r="D52" s="17" t="s">
        <v>198</v>
      </c>
      <c r="E52" s="17" t="s">
        <v>116</v>
      </c>
      <c r="F52" s="17" t="s">
        <v>132</v>
      </c>
      <c r="G52" s="17" t="s">
        <v>188</v>
      </c>
      <c r="H52" s="17">
        <v>2293000</v>
      </c>
      <c r="I52" s="17">
        <v>-1596000</v>
      </c>
      <c r="J52" s="17">
        <v>0</v>
      </c>
      <c r="K52" s="17">
        <v>0</v>
      </c>
      <c r="L52" s="17">
        <v>-40000</v>
      </c>
      <c r="M52" s="17">
        <v>0</v>
      </c>
      <c r="N52" s="17">
        <v>0</v>
      </c>
      <c r="O52" s="17">
        <v>0</v>
      </c>
      <c r="P52" s="17">
        <v>0</v>
      </c>
      <c r="Q52" s="17">
        <v>0</v>
      </c>
      <c r="R52" s="17">
        <v>20800</v>
      </c>
      <c r="S52" s="17">
        <v>-20800</v>
      </c>
      <c r="T52" s="17">
        <v>0</v>
      </c>
      <c r="U52" s="17">
        <v>0</v>
      </c>
      <c r="V52" s="17">
        <v>0</v>
      </c>
      <c r="W52" s="17">
        <v>-38505</v>
      </c>
      <c r="X52" s="17">
        <v>-27594</v>
      </c>
      <c r="Y52" s="17">
        <v>-41391</v>
      </c>
      <c r="Z52" s="17">
        <v>-1250</v>
      </c>
      <c r="AA52" s="17">
        <v>0</v>
      </c>
      <c r="AB52" s="17">
        <v>0</v>
      </c>
      <c r="AC52" s="17">
        <v>0</v>
      </c>
      <c r="AD52" s="17">
        <v>0</v>
      </c>
      <c r="AE52" s="17">
        <v>0</v>
      </c>
      <c r="AF52" s="17">
        <v>0</v>
      </c>
      <c r="AG52" s="17">
        <v>548260</v>
      </c>
      <c r="AH52" s="17" t="s">
        <v>93</v>
      </c>
      <c r="AI52" s="17">
        <v>0</v>
      </c>
      <c r="AJ52" s="17">
        <v>0</v>
      </c>
      <c r="AK52" s="17" t="s">
        <v>67</v>
      </c>
      <c r="AL52" s="17" t="s">
        <v>67</v>
      </c>
      <c r="AM52" s="17" t="s"/>
      <c r="AN52" s="17">
        <v>0</v>
      </c>
      <c r="AO52" s="17">
        <v>0</v>
      </c>
      <c r="AP52" s="17">
        <v>0</v>
      </c>
      <c r="AQ52" s="17">
        <v>0</v>
      </c>
      <c r="AR52" s="17">
        <v>0</v>
      </c>
    </row>
    <row r="53">
      <c r="A53" s="17">
        <v>47</v>
      </c>
      <c r="B53" s="17" t="s">
        <v>199</v>
      </c>
      <c r="C53" s="17" t="s"/>
      <c r="D53" s="17" t="s">
        <v>200</v>
      </c>
      <c r="E53" s="17" t="s">
        <v>163</v>
      </c>
      <c r="F53" s="17" t="s">
        <v>65</v>
      </c>
      <c r="G53" s="17" t="s">
        <v>188</v>
      </c>
      <c r="H53" s="17">
        <v>48000</v>
      </c>
      <c r="I53" s="17">
        <v>-24000</v>
      </c>
      <c r="J53" s="17">
        <v>0</v>
      </c>
      <c r="K53" s="17">
        <v>0</v>
      </c>
      <c r="L53" s="17">
        <v>0</v>
      </c>
      <c r="M53" s="17">
        <v>0</v>
      </c>
      <c r="N53" s="17">
        <v>0</v>
      </c>
      <c r="O53" s="17">
        <v>0</v>
      </c>
      <c r="P53" s="17">
        <v>0</v>
      </c>
      <c r="Q53" s="17">
        <v>0</v>
      </c>
      <c r="R53" s="17">
        <v>3500</v>
      </c>
      <c r="S53" s="17">
        <v>-3500</v>
      </c>
      <c r="T53" s="17">
        <v>0</v>
      </c>
      <c r="U53" s="17">
        <v>0</v>
      </c>
      <c r="V53" s="17">
        <v>0</v>
      </c>
      <c r="W53" s="17">
        <v>0</v>
      </c>
      <c r="X53" s="17">
        <v>-1008</v>
      </c>
      <c r="Y53" s="17">
        <v>-1512</v>
      </c>
      <c r="Z53" s="17">
        <v>-1250</v>
      </c>
      <c r="AA53" s="17">
        <v>0</v>
      </c>
      <c r="AB53" s="17">
        <v>0</v>
      </c>
      <c r="AC53" s="17">
        <v>0</v>
      </c>
      <c r="AD53" s="17">
        <v>0</v>
      </c>
      <c r="AE53" s="17">
        <v>0</v>
      </c>
      <c r="AF53" s="17">
        <v>0</v>
      </c>
      <c r="AG53" s="17">
        <v>20230</v>
      </c>
      <c r="AH53" s="17" t="s"/>
      <c r="AI53" s="17">
        <v>0</v>
      </c>
      <c r="AJ53" s="17">
        <v>0</v>
      </c>
      <c r="AK53" s="17" t="s">
        <v>79</v>
      </c>
      <c r="AL53" s="17" t="s">
        <v>72</v>
      </c>
      <c r="AM53" s="17" t="s"/>
      <c r="AN53" s="17">
        <v>0</v>
      </c>
      <c r="AO53" s="17">
        <v>0</v>
      </c>
      <c r="AP53" s="17">
        <v>0</v>
      </c>
      <c r="AQ53" s="17">
        <v>0</v>
      </c>
      <c r="AR53" s="17">
        <v>0</v>
      </c>
    </row>
    <row r="54">
      <c r="A54" s="17">
        <v>48</v>
      </c>
      <c r="B54" s="17" t="s">
        <v>201</v>
      </c>
      <c r="C54" s="17">
        <v>225136144272308</v>
      </c>
      <c r="D54" s="17" t="s">
        <v>202</v>
      </c>
      <c r="E54" s="17" t="s">
        <v>71</v>
      </c>
      <c r="F54" s="17" t="s">
        <v>203</v>
      </c>
      <c r="G54" s="17" t="s">
        <v>188</v>
      </c>
      <c r="H54" s="17">
        <v>3339000</v>
      </c>
      <c r="I54" s="17">
        <v>-2190000</v>
      </c>
      <c r="J54" s="17">
        <v>-1149000</v>
      </c>
      <c r="K54" s="17">
        <v>0</v>
      </c>
      <c r="L54" s="17">
        <v>0</v>
      </c>
      <c r="M54" s="17">
        <v>0</v>
      </c>
      <c r="N54" s="17">
        <v>0</v>
      </c>
      <c r="O54" s="17">
        <v>0</v>
      </c>
      <c r="P54" s="17">
        <v>0</v>
      </c>
      <c r="Q54" s="17">
        <v>0</v>
      </c>
      <c r="R54" s="17">
        <v>0</v>
      </c>
      <c r="S54" s="17">
        <v>-8500</v>
      </c>
      <c r="T54" s="17">
        <v>-15600</v>
      </c>
      <c r="U54" s="17">
        <v>0</v>
      </c>
      <c r="V54" s="17">
        <v>0</v>
      </c>
      <c r="W54" s="17">
        <v>0</v>
      </c>
      <c r="X54" s="17">
        <v>0</v>
      </c>
      <c r="Y54" s="17">
        <v>0</v>
      </c>
      <c r="Z54" s="17">
        <v>0</v>
      </c>
      <c r="AA54" s="17">
        <v>0</v>
      </c>
      <c r="AB54" s="17">
        <v>0</v>
      </c>
      <c r="AC54" s="17">
        <v>0</v>
      </c>
      <c r="AD54" s="17">
        <v>0</v>
      </c>
      <c r="AE54" s="17">
        <v>0</v>
      </c>
      <c r="AF54" s="17">
        <v>0</v>
      </c>
      <c r="AG54" s="17">
        <v>-24100</v>
      </c>
      <c r="AH54" s="17" t="s">
        <v>98</v>
      </c>
      <c r="AI54" s="17">
        <v>0</v>
      </c>
      <c r="AJ54" s="17">
        <v>0</v>
      </c>
      <c r="AK54" s="17" t="s">
        <v>66</v>
      </c>
      <c r="AL54" s="17" t="s">
        <v>67</v>
      </c>
      <c r="AM54" s="17" t="s"/>
      <c r="AN54" s="17">
        <v>-1149000</v>
      </c>
      <c r="AO54" s="17">
        <v>0</v>
      </c>
      <c r="AP54" s="17">
        <v>0</v>
      </c>
      <c r="AQ54" s="17">
        <v>0</v>
      </c>
      <c r="AR54" s="17">
        <v>0</v>
      </c>
    </row>
    <row r="55">
      <c r="A55" s="17">
        <v>49</v>
      </c>
      <c r="B55" s="17" t="s">
        <v>204</v>
      </c>
      <c r="C55" s="17" t="s"/>
      <c r="D55" s="17" t="s">
        <v>205</v>
      </c>
      <c r="E55" s="17" t="s">
        <v>178</v>
      </c>
      <c r="F55" s="17" t="s">
        <v>70</v>
      </c>
      <c r="G55" s="17" t="s">
        <v>206</v>
      </c>
      <c r="H55" s="17">
        <v>698000</v>
      </c>
      <c r="I55" s="17">
        <v>0</v>
      </c>
      <c r="J55" s="17">
        <v>0</v>
      </c>
      <c r="K55" s="17">
        <v>0</v>
      </c>
      <c r="L55" s="17">
        <v>-40000</v>
      </c>
      <c r="M55" s="17">
        <v>0</v>
      </c>
      <c r="N55" s="17">
        <v>0</v>
      </c>
      <c r="O55" s="17">
        <v>0</v>
      </c>
      <c r="P55" s="17">
        <v>62000</v>
      </c>
      <c r="Q55" s="17">
        <v>0</v>
      </c>
      <c r="R55" s="17">
        <v>0</v>
      </c>
      <c r="S55" s="17">
        <v>-62000</v>
      </c>
      <c r="T55" s="17">
        <v>0</v>
      </c>
      <c r="U55" s="17">
        <v>0</v>
      </c>
      <c r="V55" s="17">
        <v>0</v>
      </c>
      <c r="W55" s="17">
        <v>0</v>
      </c>
      <c r="X55" s="17">
        <v>-27636</v>
      </c>
      <c r="Y55" s="17">
        <v>-54614</v>
      </c>
      <c r="Z55" s="17">
        <v>-1250</v>
      </c>
      <c r="AA55" s="17">
        <v>0</v>
      </c>
      <c r="AB55" s="17">
        <v>0</v>
      </c>
      <c r="AC55" s="17">
        <v>0</v>
      </c>
      <c r="AD55" s="17">
        <v>0</v>
      </c>
      <c r="AE55" s="17">
        <v>0</v>
      </c>
      <c r="AF55" s="17">
        <v>0</v>
      </c>
      <c r="AG55" s="17">
        <v>574500</v>
      </c>
      <c r="AH55" s="17" t="s">
        <v>93</v>
      </c>
      <c r="AI55" s="17">
        <v>0</v>
      </c>
      <c r="AJ55" s="17">
        <v>0</v>
      </c>
      <c r="AK55" s="17" t="s">
        <v>123</v>
      </c>
      <c r="AL55" s="17" t="s">
        <v>124</v>
      </c>
      <c r="AM55" s="17" t="s"/>
      <c r="AN55" s="17">
        <v>0</v>
      </c>
      <c r="AO55" s="17">
        <v>0</v>
      </c>
      <c r="AP55" s="17">
        <v>0</v>
      </c>
      <c r="AQ55" s="17">
        <v>0</v>
      </c>
      <c r="AR55" s="17">
        <v>0</v>
      </c>
    </row>
    <row r="56">
      <c r="A56" s="17">
        <v>50</v>
      </c>
      <c r="B56" s="17" t="s">
        <v>207</v>
      </c>
      <c r="C56" s="17" t="s"/>
      <c r="D56" s="17" t="s">
        <v>208</v>
      </c>
      <c r="E56" s="17" t="s">
        <v>142</v>
      </c>
      <c r="F56" s="17" t="s">
        <v>132</v>
      </c>
      <c r="G56" s="17" t="s">
        <v>206</v>
      </c>
      <c r="H56" s="17">
        <v>2293000</v>
      </c>
      <c r="I56" s="17">
        <v>-1596000</v>
      </c>
      <c r="J56" s="17">
        <v>0</v>
      </c>
      <c r="K56" s="17">
        <v>0</v>
      </c>
      <c r="L56" s="17">
        <v>-40000</v>
      </c>
      <c r="M56" s="17">
        <v>0</v>
      </c>
      <c r="N56" s="17">
        <v>0</v>
      </c>
      <c r="O56" s="17">
        <v>0</v>
      </c>
      <c r="P56" s="17">
        <v>3400</v>
      </c>
      <c r="Q56" s="17">
        <v>0</v>
      </c>
      <c r="R56" s="17">
        <v>20000</v>
      </c>
      <c r="S56" s="17">
        <v>-23400</v>
      </c>
      <c r="T56" s="17">
        <v>0</v>
      </c>
      <c r="U56" s="17">
        <v>0</v>
      </c>
      <c r="V56" s="17">
        <v>0</v>
      </c>
      <c r="W56" s="17">
        <v>0</v>
      </c>
      <c r="X56" s="17">
        <v>-27594</v>
      </c>
      <c r="Y56" s="17">
        <v>-41391</v>
      </c>
      <c r="Z56" s="17">
        <v>-1250</v>
      </c>
      <c r="AA56" s="17">
        <v>0</v>
      </c>
      <c r="AB56" s="17">
        <v>0</v>
      </c>
      <c r="AC56" s="17">
        <v>-14046</v>
      </c>
      <c r="AD56" s="17">
        <v>0</v>
      </c>
      <c r="AE56" s="17">
        <v>0</v>
      </c>
      <c r="AF56" s="17">
        <v>0</v>
      </c>
      <c r="AG56" s="17">
        <v>572719</v>
      </c>
      <c r="AH56" s="17" t="s">
        <v>93</v>
      </c>
      <c r="AI56" s="17">
        <v>0</v>
      </c>
      <c r="AJ56" s="17">
        <v>0</v>
      </c>
      <c r="AK56" s="17" t="s">
        <v>149</v>
      </c>
      <c r="AL56" s="17" t="s">
        <v>149</v>
      </c>
      <c r="AM56" s="17" t="s"/>
      <c r="AN56" s="17">
        <v>0</v>
      </c>
      <c r="AO56" s="17">
        <v>0</v>
      </c>
      <c r="AP56" s="17">
        <v>0</v>
      </c>
      <c r="AQ56" s="17">
        <v>0</v>
      </c>
      <c r="AR56" s="17">
        <v>0</v>
      </c>
    </row>
    <row r="57">
      <c r="A57" s="17">
        <v>51</v>
      </c>
      <c r="B57" s="17" t="s">
        <v>209</v>
      </c>
      <c r="C57" s="17" t="s"/>
      <c r="D57" s="17" t="s">
        <v>210</v>
      </c>
      <c r="E57" s="17" t="s">
        <v>178</v>
      </c>
      <c r="F57" s="17" t="s">
        <v>132</v>
      </c>
      <c r="G57" s="17" t="s">
        <v>211</v>
      </c>
      <c r="H57" s="17">
        <v>698000</v>
      </c>
      <c r="I57" s="17">
        <v>0</v>
      </c>
      <c r="J57" s="17">
        <v>0</v>
      </c>
      <c r="K57" s="17">
        <v>0</v>
      </c>
      <c r="L57" s="17">
        <v>-40000</v>
      </c>
      <c r="M57" s="17">
        <v>0</v>
      </c>
      <c r="N57" s="17">
        <v>0</v>
      </c>
      <c r="O57" s="17">
        <v>0</v>
      </c>
      <c r="P57" s="17">
        <v>0</v>
      </c>
      <c r="Q57" s="17">
        <v>0</v>
      </c>
      <c r="R57" s="17">
        <v>8500</v>
      </c>
      <c r="S57" s="17">
        <v>-8500</v>
      </c>
      <c r="T57" s="17">
        <v>0</v>
      </c>
      <c r="U57" s="17">
        <v>0</v>
      </c>
      <c r="V57" s="17">
        <v>0</v>
      </c>
      <c r="W57" s="17">
        <v>0</v>
      </c>
      <c r="X57" s="17">
        <v>-27636</v>
      </c>
      <c r="Y57" s="17">
        <v>-54614</v>
      </c>
      <c r="Z57" s="17">
        <v>-1250</v>
      </c>
      <c r="AA57" s="17">
        <v>0</v>
      </c>
      <c r="AB57" s="17">
        <v>0</v>
      </c>
      <c r="AC57" s="17">
        <v>0</v>
      </c>
      <c r="AD57" s="17">
        <v>0</v>
      </c>
      <c r="AE57" s="17">
        <v>0</v>
      </c>
      <c r="AF57" s="17">
        <v>0</v>
      </c>
      <c r="AG57" s="17">
        <v>574500</v>
      </c>
      <c r="AH57" s="17" t="s">
        <v>93</v>
      </c>
      <c r="AI57" s="17">
        <v>0</v>
      </c>
      <c r="AJ57" s="17">
        <v>0</v>
      </c>
      <c r="AK57" s="17" t="s">
        <v>66</v>
      </c>
      <c r="AL57" s="17" t="s">
        <v>67</v>
      </c>
      <c r="AM57" s="17" t="s"/>
      <c r="AN57" s="17">
        <v>0</v>
      </c>
      <c r="AO57" s="17">
        <v>0</v>
      </c>
      <c r="AP57" s="17">
        <v>0</v>
      </c>
      <c r="AQ57" s="17">
        <v>0</v>
      </c>
      <c r="AR57" s="17">
        <v>0</v>
      </c>
    </row>
    <row r="58">
      <c r="A58" s="17">
        <v>52</v>
      </c>
      <c r="B58" s="17" t="s">
        <v>212</v>
      </c>
      <c r="C58" s="17" t="s"/>
      <c r="D58" s="17" t="s">
        <v>213</v>
      </c>
      <c r="E58" s="17" t="s">
        <v>119</v>
      </c>
      <c r="F58" s="17" t="s">
        <v>65</v>
      </c>
      <c r="G58" s="17" t="s">
        <v>211</v>
      </c>
      <c r="H58" s="17">
        <v>698000</v>
      </c>
      <c r="I58" s="17">
        <v>0</v>
      </c>
      <c r="J58" s="17">
        <v>0</v>
      </c>
      <c r="K58" s="17">
        <v>0</v>
      </c>
      <c r="L58" s="17">
        <v>-40000</v>
      </c>
      <c r="M58" s="17">
        <v>0</v>
      </c>
      <c r="N58" s="17">
        <v>0</v>
      </c>
      <c r="O58" s="17">
        <v>0</v>
      </c>
      <c r="P58" s="17">
        <v>0</v>
      </c>
      <c r="Q58" s="17">
        <v>0</v>
      </c>
      <c r="R58" s="17">
        <v>10000</v>
      </c>
      <c r="S58" s="17">
        <v>-10000</v>
      </c>
      <c r="T58" s="17">
        <v>0</v>
      </c>
      <c r="U58" s="17">
        <v>0</v>
      </c>
      <c r="V58" s="17">
        <v>0</v>
      </c>
      <c r="W58" s="17">
        <v>-19282</v>
      </c>
      <c r="X58" s="17">
        <v>-27636</v>
      </c>
      <c r="Y58" s="17">
        <v>-41454</v>
      </c>
      <c r="Z58" s="17">
        <v>-1250</v>
      </c>
      <c r="AA58" s="17">
        <v>0</v>
      </c>
      <c r="AB58" s="17">
        <v>0</v>
      </c>
      <c r="AC58" s="17">
        <v>0</v>
      </c>
      <c r="AD58" s="17">
        <v>0</v>
      </c>
      <c r="AE58" s="17">
        <v>0</v>
      </c>
      <c r="AF58" s="17">
        <v>0</v>
      </c>
      <c r="AG58" s="17">
        <v>568378</v>
      </c>
      <c r="AH58" s="17" t="s">
        <v>93</v>
      </c>
      <c r="AI58" s="17">
        <v>0</v>
      </c>
      <c r="AJ58" s="17">
        <v>0</v>
      </c>
      <c r="AK58" s="17" t="s">
        <v>66</v>
      </c>
      <c r="AL58" s="17" t="s">
        <v>102</v>
      </c>
      <c r="AM58" s="17" t="s"/>
      <c r="AN58" s="17">
        <v>0</v>
      </c>
      <c r="AO58" s="17">
        <v>0</v>
      </c>
      <c r="AP58" s="17">
        <v>0</v>
      </c>
      <c r="AQ58" s="17">
        <v>0</v>
      </c>
      <c r="AR58" s="17">
        <v>0</v>
      </c>
    </row>
    <row r="59">
      <c r="A59" s="17">
        <v>53</v>
      </c>
      <c r="B59" s="17" t="s">
        <v>214</v>
      </c>
      <c r="C59" s="17" t="s"/>
      <c r="D59" s="17" t="s">
        <v>215</v>
      </c>
      <c r="E59" s="17" t="s">
        <v>163</v>
      </c>
      <c r="F59" s="17" t="s">
        <v>65</v>
      </c>
      <c r="G59" s="17" t="s">
        <v>211</v>
      </c>
      <c r="H59" s="17">
        <v>48000</v>
      </c>
      <c r="I59" s="17">
        <v>-24000</v>
      </c>
      <c r="J59" s="17">
        <v>0</v>
      </c>
      <c r="K59" s="17">
        <v>0</v>
      </c>
      <c r="L59" s="17">
        <v>0</v>
      </c>
      <c r="M59" s="17">
        <v>0</v>
      </c>
      <c r="N59" s="17">
        <v>0</v>
      </c>
      <c r="O59" s="17">
        <v>0</v>
      </c>
      <c r="P59" s="17">
        <v>0</v>
      </c>
      <c r="Q59" s="17">
        <v>0</v>
      </c>
      <c r="R59" s="17">
        <v>12000</v>
      </c>
      <c r="S59" s="17">
        <v>-12000</v>
      </c>
      <c r="T59" s="17">
        <v>0</v>
      </c>
      <c r="U59" s="17">
        <v>0</v>
      </c>
      <c r="V59" s="17">
        <v>0</v>
      </c>
      <c r="W59" s="17">
        <v>0</v>
      </c>
      <c r="X59" s="17">
        <v>-1008</v>
      </c>
      <c r="Y59" s="17">
        <v>-1512</v>
      </c>
      <c r="Z59" s="17">
        <v>-1250</v>
      </c>
      <c r="AA59" s="17">
        <v>0</v>
      </c>
      <c r="AB59" s="17">
        <v>0</v>
      </c>
      <c r="AC59" s="17">
        <v>0</v>
      </c>
      <c r="AD59" s="17">
        <v>0</v>
      </c>
      <c r="AE59" s="17">
        <v>0</v>
      </c>
      <c r="AF59" s="17">
        <v>0</v>
      </c>
      <c r="AG59" s="17">
        <v>20230</v>
      </c>
      <c r="AH59" s="17" t="s"/>
      <c r="AI59" s="17">
        <v>0</v>
      </c>
      <c r="AJ59" s="17">
        <v>0</v>
      </c>
      <c r="AK59" s="17" t="s">
        <v>79</v>
      </c>
      <c r="AL59" s="17" t="s">
        <v>72</v>
      </c>
      <c r="AM59" s="17" t="s"/>
      <c r="AN59" s="17">
        <v>0</v>
      </c>
      <c r="AO59" s="17">
        <v>0</v>
      </c>
      <c r="AP59" s="17">
        <v>0</v>
      </c>
      <c r="AQ59" s="17">
        <v>0</v>
      </c>
      <c r="AR59" s="17">
        <v>0</v>
      </c>
    </row>
    <row r="60">
      <c r="A60" s="17">
        <v>54</v>
      </c>
      <c r="B60" s="17" t="s">
        <v>216</v>
      </c>
      <c r="C60" s="17" t="s"/>
      <c r="D60" s="17" t="s">
        <v>217</v>
      </c>
      <c r="E60" s="17" t="s">
        <v>142</v>
      </c>
      <c r="F60" s="17" t="s">
        <v>132</v>
      </c>
      <c r="G60" s="17" t="s">
        <v>211</v>
      </c>
      <c r="H60" s="17">
        <v>842000</v>
      </c>
      <c r="I60" s="17">
        <v>-13000</v>
      </c>
      <c r="J60" s="17">
        <v>0</v>
      </c>
      <c r="K60" s="17">
        <v>0</v>
      </c>
      <c r="L60" s="17">
        <v>-20000</v>
      </c>
      <c r="M60" s="17">
        <v>0</v>
      </c>
      <c r="N60" s="17">
        <v>0</v>
      </c>
      <c r="O60" s="17">
        <v>0</v>
      </c>
      <c r="P60" s="17">
        <v>6200</v>
      </c>
      <c r="Q60" s="17">
        <v>0</v>
      </c>
      <c r="R60" s="17">
        <v>55000</v>
      </c>
      <c r="S60" s="17">
        <v>-61200</v>
      </c>
      <c r="T60" s="17">
        <v>0</v>
      </c>
      <c r="U60" s="17">
        <v>0</v>
      </c>
      <c r="V60" s="17">
        <v>0</v>
      </c>
      <c r="W60" s="17">
        <v>0</v>
      </c>
      <c r="X60" s="17">
        <v>-33978</v>
      </c>
      <c r="Y60" s="17">
        <v>-50967</v>
      </c>
      <c r="Z60" s="17">
        <v>-1250</v>
      </c>
      <c r="AA60" s="17">
        <v>0</v>
      </c>
      <c r="AB60" s="17">
        <v>0</v>
      </c>
      <c r="AC60" s="17">
        <v>0</v>
      </c>
      <c r="AD60" s="17">
        <v>0</v>
      </c>
      <c r="AE60" s="17">
        <v>0</v>
      </c>
      <c r="AF60" s="17">
        <v>0</v>
      </c>
      <c r="AG60" s="17">
        <v>722805</v>
      </c>
      <c r="AH60" s="17" t="s">
        <v>98</v>
      </c>
      <c r="AI60" s="17">
        <v>0</v>
      </c>
      <c r="AJ60" s="17">
        <v>0</v>
      </c>
      <c r="AK60" s="17" t="s">
        <v>124</v>
      </c>
      <c r="AL60" s="17" t="s">
        <v>124</v>
      </c>
      <c r="AM60" s="17" t="s"/>
      <c r="AN60" s="17">
        <v>0</v>
      </c>
      <c r="AO60" s="17">
        <v>0</v>
      </c>
      <c r="AP60" s="17">
        <v>0</v>
      </c>
      <c r="AQ60" s="17">
        <v>0</v>
      </c>
      <c r="AR60" s="17">
        <v>0</v>
      </c>
    </row>
    <row r="61">
      <c r="A61" s="17">
        <v>55</v>
      </c>
      <c r="B61" s="17" t="s">
        <v>218</v>
      </c>
      <c r="C61" s="17" t="s"/>
      <c r="D61" s="17" t="s">
        <v>219</v>
      </c>
      <c r="E61" s="17" t="s">
        <v>163</v>
      </c>
      <c r="F61" s="17" t="s">
        <v>147</v>
      </c>
      <c r="G61" s="17" t="s">
        <v>211</v>
      </c>
      <c r="H61" s="17">
        <v>746000</v>
      </c>
      <c r="I61" s="17">
        <v>-24000</v>
      </c>
      <c r="J61" s="17">
        <v>0</v>
      </c>
      <c r="K61" s="17">
        <v>0</v>
      </c>
      <c r="L61" s="17">
        <v>-40000</v>
      </c>
      <c r="M61" s="17">
        <v>0</v>
      </c>
      <c r="N61" s="17">
        <v>0</v>
      </c>
      <c r="O61" s="17">
        <v>0</v>
      </c>
      <c r="P61" s="17">
        <v>0</v>
      </c>
      <c r="Q61" s="17">
        <v>0</v>
      </c>
      <c r="R61" s="17">
        <v>12000</v>
      </c>
      <c r="S61" s="17">
        <v>-12000</v>
      </c>
      <c r="T61" s="17">
        <v>0</v>
      </c>
      <c r="U61" s="17">
        <v>0</v>
      </c>
      <c r="V61" s="17">
        <v>0</v>
      </c>
      <c r="W61" s="17">
        <v>-19381</v>
      </c>
      <c r="X61" s="17">
        <v>-28644</v>
      </c>
      <c r="Y61" s="17">
        <v>-42966</v>
      </c>
      <c r="Z61" s="17">
        <v>-1250</v>
      </c>
      <c r="AA61" s="17">
        <v>0</v>
      </c>
      <c r="AB61" s="17">
        <v>0</v>
      </c>
      <c r="AC61" s="17">
        <v>0</v>
      </c>
      <c r="AD61" s="17">
        <v>0</v>
      </c>
      <c r="AE61" s="17">
        <v>0</v>
      </c>
      <c r="AF61" s="17">
        <v>0</v>
      </c>
      <c r="AG61" s="17">
        <v>589759</v>
      </c>
      <c r="AH61" s="17" t="s">
        <v>93</v>
      </c>
      <c r="AI61" s="17">
        <v>0</v>
      </c>
      <c r="AJ61" s="17">
        <v>0</v>
      </c>
      <c r="AK61" s="17" t="s">
        <v>79</v>
      </c>
      <c r="AL61" s="17" t="s">
        <v>220</v>
      </c>
      <c r="AM61" s="17" t="s"/>
      <c r="AN61" s="17">
        <v>0</v>
      </c>
      <c r="AO61" s="17">
        <v>0</v>
      </c>
      <c r="AP61" s="17">
        <v>0</v>
      </c>
      <c r="AQ61" s="17">
        <v>0</v>
      </c>
      <c r="AR61" s="17">
        <v>0</v>
      </c>
    </row>
    <row r="62">
      <c r="A62" s="17">
        <v>56</v>
      </c>
      <c r="B62" s="17" t="s">
        <v>221</v>
      </c>
      <c r="C62" s="17" t="s"/>
      <c r="D62" s="17" t="s">
        <v>222</v>
      </c>
      <c r="E62" s="17" t="s">
        <v>223</v>
      </c>
      <c r="F62" s="17" t="s">
        <v>97</v>
      </c>
      <c r="G62" s="17" t="s">
        <v>223</v>
      </c>
      <c r="H62" s="17">
        <v>842000</v>
      </c>
      <c r="I62" s="17">
        <v>-13000</v>
      </c>
      <c r="J62" s="17">
        <v>0</v>
      </c>
      <c r="K62" s="17">
        <v>0</v>
      </c>
      <c r="L62" s="17">
        <v>-15000</v>
      </c>
      <c r="M62" s="17">
        <v>0</v>
      </c>
      <c r="N62" s="17">
        <v>0</v>
      </c>
      <c r="O62" s="17">
        <v>0</v>
      </c>
      <c r="P62" s="17">
        <v>0</v>
      </c>
      <c r="Q62" s="17">
        <v>0</v>
      </c>
      <c r="R62" s="17">
        <v>41000</v>
      </c>
      <c r="S62" s="17">
        <v>-41000</v>
      </c>
      <c r="T62" s="17">
        <v>0</v>
      </c>
      <c r="U62" s="17">
        <v>0</v>
      </c>
      <c r="V62" s="17">
        <v>0</v>
      </c>
      <c r="W62" s="17">
        <v>0</v>
      </c>
      <c r="X62" s="17">
        <v>-34188</v>
      </c>
      <c r="Y62" s="17">
        <v>-67562</v>
      </c>
      <c r="Z62" s="17">
        <v>-1250</v>
      </c>
      <c r="AA62" s="17">
        <v>0</v>
      </c>
      <c r="AB62" s="17">
        <v>0</v>
      </c>
      <c r="AC62" s="17">
        <v>0</v>
      </c>
      <c r="AD62" s="17">
        <v>0</v>
      </c>
      <c r="AE62" s="17">
        <v>0</v>
      </c>
      <c r="AF62" s="17">
        <v>0</v>
      </c>
      <c r="AG62" s="17">
        <v>711000</v>
      </c>
      <c r="AH62" s="17" t="s">
        <v>224</v>
      </c>
      <c r="AI62" s="17">
        <v>0</v>
      </c>
      <c r="AJ62" s="17">
        <v>0</v>
      </c>
      <c r="AK62" s="17" t="s">
        <v>123</v>
      </c>
      <c r="AL62" s="17" t="s">
        <v>124</v>
      </c>
      <c r="AM62" s="17" t="s"/>
      <c r="AN62" s="17">
        <v>0</v>
      </c>
      <c r="AO62" s="17">
        <v>0</v>
      </c>
      <c r="AP62" s="17">
        <v>0</v>
      </c>
      <c r="AQ62" s="17">
        <v>0</v>
      </c>
      <c r="AR62" s="17">
        <v>0</v>
      </c>
    </row>
    <row r="63">
      <c r="A63" s="17">
        <v>57</v>
      </c>
      <c r="B63" s="17" t="s">
        <v>225</v>
      </c>
      <c r="C63" s="17" t="s"/>
      <c r="D63" s="17" t="s">
        <v>226</v>
      </c>
      <c r="E63" s="17" t="s">
        <v>168</v>
      </c>
      <c r="F63" s="17" t="s">
        <v>70</v>
      </c>
      <c r="G63" s="17" t="s">
        <v>223</v>
      </c>
      <c r="H63" s="17">
        <v>1064000</v>
      </c>
      <c r="I63" s="17">
        <v>-148000</v>
      </c>
      <c r="J63" s="17">
        <v>0</v>
      </c>
      <c r="K63" s="17">
        <v>0</v>
      </c>
      <c r="L63" s="17">
        <v>-20000</v>
      </c>
      <c r="M63" s="17">
        <v>0</v>
      </c>
      <c r="N63" s="17">
        <v>0</v>
      </c>
      <c r="O63" s="17">
        <v>0</v>
      </c>
      <c r="P63" s="17">
        <v>3000</v>
      </c>
      <c r="Q63" s="17">
        <v>0</v>
      </c>
      <c r="R63" s="17">
        <v>21000</v>
      </c>
      <c r="S63" s="17">
        <v>-24000</v>
      </c>
      <c r="T63" s="17">
        <v>0</v>
      </c>
      <c r="U63" s="17">
        <v>0</v>
      </c>
      <c r="V63" s="17">
        <v>0</v>
      </c>
      <c r="W63" s="17">
        <v>0</v>
      </c>
      <c r="X63" s="17">
        <v>-37632</v>
      </c>
      <c r="Y63" s="17">
        <v>-56448</v>
      </c>
      <c r="Z63" s="17">
        <v>-1250</v>
      </c>
      <c r="AA63" s="17">
        <v>0</v>
      </c>
      <c r="AB63" s="17">
        <v>0</v>
      </c>
      <c r="AC63" s="17">
        <v>0</v>
      </c>
      <c r="AD63" s="17">
        <v>0</v>
      </c>
      <c r="AE63" s="17">
        <v>0</v>
      </c>
      <c r="AF63" s="17">
        <v>0</v>
      </c>
      <c r="AG63" s="17">
        <v>800670</v>
      </c>
      <c r="AH63" s="17" t="s">
        <v>98</v>
      </c>
      <c r="AI63" s="17">
        <v>0</v>
      </c>
      <c r="AJ63" s="17">
        <v>0</v>
      </c>
      <c r="AK63" s="17" t="s">
        <v>148</v>
      </c>
      <c r="AL63" s="17" t="s">
        <v>149</v>
      </c>
      <c r="AM63" s="17" t="s"/>
      <c r="AN63" s="17">
        <v>0</v>
      </c>
      <c r="AO63" s="17">
        <v>0</v>
      </c>
      <c r="AP63" s="17">
        <v>0</v>
      </c>
      <c r="AQ63" s="17">
        <v>0</v>
      </c>
      <c r="AR63" s="17">
        <v>0</v>
      </c>
    </row>
    <row r="64">
      <c r="A64" s="17">
        <v>58</v>
      </c>
      <c r="B64" s="17" t="s">
        <v>227</v>
      </c>
      <c r="C64" s="17" t="s"/>
      <c r="D64" s="17" t="s">
        <v>228</v>
      </c>
      <c r="E64" s="17" t="s">
        <v>178</v>
      </c>
      <c r="F64" s="17" t="s">
        <v>132</v>
      </c>
      <c r="G64" s="17" t="s">
        <v>223</v>
      </c>
      <c r="H64" s="17">
        <v>270000</v>
      </c>
      <c r="I64" s="17">
        <v>-164000</v>
      </c>
      <c r="J64" s="17">
        <v>0</v>
      </c>
      <c r="K64" s="17">
        <v>0</v>
      </c>
      <c r="L64" s="17">
        <v>0</v>
      </c>
      <c r="M64" s="17">
        <v>0</v>
      </c>
      <c r="N64" s="17">
        <v>0</v>
      </c>
      <c r="O64" s="17">
        <v>0</v>
      </c>
      <c r="P64" s="17">
        <v>0</v>
      </c>
      <c r="Q64" s="17">
        <v>0</v>
      </c>
      <c r="R64" s="17">
        <v>8000</v>
      </c>
      <c r="S64" s="17">
        <v>-8000</v>
      </c>
      <c r="T64" s="17">
        <v>0</v>
      </c>
      <c r="U64" s="17">
        <v>0</v>
      </c>
      <c r="V64" s="17">
        <v>0</v>
      </c>
      <c r="W64" s="17">
        <v>0</v>
      </c>
      <c r="X64" s="17">
        <v>-4452</v>
      </c>
      <c r="Y64" s="17">
        <v>-8798</v>
      </c>
      <c r="Z64" s="17">
        <v>-1250</v>
      </c>
      <c r="AA64" s="17">
        <v>0</v>
      </c>
      <c r="AB64" s="17">
        <v>0</v>
      </c>
      <c r="AC64" s="17">
        <v>-2385</v>
      </c>
      <c r="AD64" s="17">
        <v>0</v>
      </c>
      <c r="AE64" s="17">
        <v>0</v>
      </c>
      <c r="AF64" s="17">
        <v>0</v>
      </c>
      <c r="AG64" s="17">
        <v>89115</v>
      </c>
      <c r="AH64" s="17" t="s"/>
      <c r="AI64" s="17">
        <v>0</v>
      </c>
      <c r="AJ64" s="17">
        <v>0</v>
      </c>
      <c r="AK64" s="17" t="s">
        <v>66</v>
      </c>
      <c r="AL64" s="17" t="s">
        <v>67</v>
      </c>
      <c r="AM64" s="17" t="s"/>
      <c r="AN64" s="17">
        <v>0</v>
      </c>
      <c r="AO64" s="17">
        <v>0</v>
      </c>
      <c r="AP64" s="17">
        <v>0</v>
      </c>
      <c r="AQ64" s="17">
        <v>0</v>
      </c>
      <c r="AR64" s="17">
        <v>0</v>
      </c>
    </row>
    <row r="65">
      <c r="A65" s="17">
        <v>59</v>
      </c>
      <c r="B65" s="17" t="s">
        <v>229</v>
      </c>
      <c r="C65" s="17" t="s"/>
      <c r="D65" s="17" t="s">
        <v>230</v>
      </c>
      <c r="E65" s="17" t="s">
        <v>122</v>
      </c>
      <c r="F65" s="17" t="s">
        <v>65</v>
      </c>
      <c r="G65" s="17" t="s">
        <v>223</v>
      </c>
      <c r="H65" s="17">
        <v>1507000</v>
      </c>
      <c r="I65" s="17">
        <v>-24000</v>
      </c>
      <c r="J65" s="17">
        <v>0</v>
      </c>
      <c r="K65" s="17">
        <v>0</v>
      </c>
      <c r="L65" s="17">
        <v>-15000</v>
      </c>
      <c r="M65" s="17">
        <v>0</v>
      </c>
      <c r="N65" s="17">
        <v>0</v>
      </c>
      <c r="O65" s="17">
        <v>0</v>
      </c>
      <c r="P65" s="17">
        <v>52000</v>
      </c>
      <c r="Q65" s="17">
        <v>0</v>
      </c>
      <c r="R65" s="17">
        <v>60000</v>
      </c>
      <c r="S65" s="17">
        <v>-112000</v>
      </c>
      <c r="T65" s="17">
        <v>0</v>
      </c>
      <c r="U65" s="17">
        <v>0</v>
      </c>
      <c r="V65" s="17">
        <v>0</v>
      </c>
      <c r="W65" s="17">
        <v>-98296</v>
      </c>
      <c r="X65" s="17">
        <v>-61656</v>
      </c>
      <c r="Y65" s="17">
        <v>-87493</v>
      </c>
      <c r="Z65" s="17">
        <v>-1250</v>
      </c>
      <c r="AA65" s="17">
        <v>0</v>
      </c>
      <c r="AB65" s="17">
        <v>0</v>
      </c>
      <c r="AC65" s="17">
        <v>0</v>
      </c>
      <c r="AD65" s="17">
        <v>0</v>
      </c>
      <c r="AE65" s="17">
        <v>0</v>
      </c>
      <c r="AF65" s="17">
        <v>0</v>
      </c>
      <c r="AG65" s="17">
        <v>1219305</v>
      </c>
      <c r="AH65" s="17" t="s">
        <v>133</v>
      </c>
      <c r="AI65" s="17">
        <v>0</v>
      </c>
      <c r="AJ65" s="17">
        <v>0</v>
      </c>
      <c r="AK65" s="17" t="s">
        <v>66</v>
      </c>
      <c r="AL65" s="17" t="s">
        <v>67</v>
      </c>
      <c r="AM65" s="17" t="s"/>
      <c r="AN65" s="17">
        <v>0</v>
      </c>
      <c r="AO65" s="17">
        <v>0</v>
      </c>
      <c r="AP65" s="17">
        <v>0</v>
      </c>
      <c r="AQ65" s="17">
        <v>0</v>
      </c>
      <c r="AR65" s="17">
        <v>0</v>
      </c>
    </row>
    <row r="66">
      <c r="A66" s="17">
        <v>60</v>
      </c>
      <c r="B66" s="17" t="s">
        <v>231</v>
      </c>
      <c r="C66" s="17" t="s"/>
      <c r="D66" s="17" t="s">
        <v>232</v>
      </c>
      <c r="E66" s="17" t="s">
        <v>178</v>
      </c>
      <c r="F66" s="17" t="s">
        <v>132</v>
      </c>
      <c r="G66" s="17" t="s">
        <v>223</v>
      </c>
      <c r="H66" s="17">
        <v>222000</v>
      </c>
      <c r="I66" s="17">
        <v>-135000</v>
      </c>
      <c r="J66" s="17">
        <v>0</v>
      </c>
      <c r="K66" s="17">
        <v>0</v>
      </c>
      <c r="L66" s="17">
        <v>0</v>
      </c>
      <c r="M66" s="17">
        <v>0</v>
      </c>
      <c r="N66" s="17">
        <v>0</v>
      </c>
      <c r="O66" s="17">
        <v>0</v>
      </c>
      <c r="P66" s="17">
        <v>0</v>
      </c>
      <c r="Q66" s="17">
        <v>0</v>
      </c>
      <c r="R66" s="17">
        <v>6500</v>
      </c>
      <c r="S66" s="17">
        <v>-6500</v>
      </c>
      <c r="T66" s="17">
        <v>0</v>
      </c>
      <c r="U66" s="17">
        <v>0</v>
      </c>
      <c r="V66" s="17">
        <v>0</v>
      </c>
      <c r="W66" s="17">
        <v>0</v>
      </c>
      <c r="X66" s="17">
        <v>-3654</v>
      </c>
      <c r="Y66" s="17">
        <v>-7221</v>
      </c>
      <c r="Z66" s="17">
        <v>-1250</v>
      </c>
      <c r="AA66" s="17">
        <v>0</v>
      </c>
      <c r="AB66" s="17">
        <v>0</v>
      </c>
      <c r="AC66" s="17">
        <v>0</v>
      </c>
      <c r="AD66" s="17">
        <v>0</v>
      </c>
      <c r="AE66" s="17">
        <v>0</v>
      </c>
      <c r="AF66" s="17">
        <v>0</v>
      </c>
      <c r="AG66" s="17">
        <v>74875</v>
      </c>
      <c r="AH66" s="17" t="s"/>
      <c r="AI66" s="17">
        <v>0</v>
      </c>
      <c r="AJ66" s="17">
        <v>0</v>
      </c>
      <c r="AK66" s="17" t="s">
        <v>66</v>
      </c>
      <c r="AL66" s="17" t="s">
        <v>102</v>
      </c>
      <c r="AM66" s="17" t="s"/>
      <c r="AN66" s="17">
        <v>0</v>
      </c>
      <c r="AO66" s="17">
        <v>0</v>
      </c>
      <c r="AP66" s="17">
        <v>0</v>
      </c>
      <c r="AQ66" s="17">
        <v>0</v>
      </c>
      <c r="AR66" s="17">
        <v>0</v>
      </c>
    </row>
    <row r="67">
      <c r="A67" s="17">
        <v>61</v>
      </c>
      <c r="B67" s="17" t="s">
        <v>233</v>
      </c>
      <c r="C67" s="17" t="s"/>
      <c r="D67" s="17" t="s">
        <v>234</v>
      </c>
      <c r="E67" s="17" t="s">
        <v>163</v>
      </c>
      <c r="F67" s="17" t="s">
        <v>97</v>
      </c>
      <c r="G67" s="17" t="s">
        <v>223</v>
      </c>
      <c r="H67" s="17">
        <v>920000</v>
      </c>
      <c r="I67" s="17">
        <v>-135000</v>
      </c>
      <c r="J67" s="17">
        <v>0</v>
      </c>
      <c r="K67" s="17">
        <v>0</v>
      </c>
      <c r="L67" s="17">
        <v>-40000</v>
      </c>
      <c r="M67" s="17">
        <v>0</v>
      </c>
      <c r="N67" s="17">
        <v>0</v>
      </c>
      <c r="O67" s="17">
        <v>0</v>
      </c>
      <c r="P67" s="17">
        <v>20000</v>
      </c>
      <c r="Q67" s="17">
        <v>0</v>
      </c>
      <c r="R67" s="17">
        <v>50000</v>
      </c>
      <c r="S67" s="17">
        <v>-70000</v>
      </c>
      <c r="T67" s="17">
        <v>0</v>
      </c>
      <c r="U67" s="17">
        <v>0</v>
      </c>
      <c r="V67" s="17">
        <v>0</v>
      </c>
      <c r="W67" s="17">
        <v>-21478</v>
      </c>
      <c r="X67" s="17">
        <v>-31290</v>
      </c>
      <c r="Y67" s="17">
        <v>-46935</v>
      </c>
      <c r="Z67" s="17">
        <v>-1250</v>
      </c>
      <c r="AA67" s="17">
        <v>0</v>
      </c>
      <c r="AB67" s="17">
        <v>0</v>
      </c>
      <c r="AC67" s="17">
        <v>0</v>
      </c>
      <c r="AD67" s="17">
        <v>0</v>
      </c>
      <c r="AE67" s="17">
        <v>0</v>
      </c>
      <c r="AF67" s="17">
        <v>0</v>
      </c>
      <c r="AG67" s="17">
        <v>644047</v>
      </c>
      <c r="AH67" s="17" t="s">
        <v>93</v>
      </c>
      <c r="AI67" s="17">
        <v>0</v>
      </c>
      <c r="AJ67" s="17">
        <v>0</v>
      </c>
      <c r="AK67" s="17" t="s">
        <v>123</v>
      </c>
      <c r="AL67" s="17" t="s">
        <v>124</v>
      </c>
      <c r="AM67" s="17" t="s"/>
      <c r="AN67" s="17">
        <v>0</v>
      </c>
      <c r="AO67" s="17">
        <v>0</v>
      </c>
      <c r="AP67" s="17">
        <v>0</v>
      </c>
      <c r="AQ67" s="17">
        <v>0</v>
      </c>
      <c r="AR67" s="17">
        <v>0</v>
      </c>
    </row>
    <row r="68">
      <c r="A68" s="17">
        <v>62</v>
      </c>
      <c r="B68" s="17" t="s">
        <v>235</v>
      </c>
      <c r="C68" s="17" t="s"/>
      <c r="D68" s="17" t="s">
        <v>236</v>
      </c>
      <c r="E68" s="17" t="s">
        <v>206</v>
      </c>
      <c r="F68" s="17" t="s">
        <v>70</v>
      </c>
      <c r="G68" s="17" t="s">
        <v>237</v>
      </c>
      <c r="H68" s="17">
        <v>698000</v>
      </c>
      <c r="I68" s="17">
        <v>0</v>
      </c>
      <c r="J68" s="17">
        <v>0</v>
      </c>
      <c r="K68" s="17">
        <v>0</v>
      </c>
      <c r="L68" s="17">
        <v>-20000</v>
      </c>
      <c r="M68" s="17">
        <v>0</v>
      </c>
      <c r="N68" s="17">
        <v>0</v>
      </c>
      <c r="O68" s="17">
        <v>0</v>
      </c>
      <c r="P68" s="17">
        <v>8000</v>
      </c>
      <c r="Q68" s="17">
        <v>0</v>
      </c>
      <c r="R68" s="17">
        <v>60000</v>
      </c>
      <c r="S68" s="17">
        <v>-68000</v>
      </c>
      <c r="T68" s="17">
        <v>0</v>
      </c>
      <c r="U68" s="17">
        <v>0</v>
      </c>
      <c r="V68" s="17">
        <v>0</v>
      </c>
      <c r="W68" s="17">
        <v>0</v>
      </c>
      <c r="X68" s="17">
        <v>-28476</v>
      </c>
      <c r="Y68" s="17">
        <v>-56274</v>
      </c>
      <c r="Z68" s="17">
        <v>-1250</v>
      </c>
      <c r="AA68" s="17">
        <v>0</v>
      </c>
      <c r="AB68" s="17">
        <v>0</v>
      </c>
      <c r="AC68" s="17">
        <v>0</v>
      </c>
      <c r="AD68" s="17">
        <v>0</v>
      </c>
      <c r="AE68" s="17">
        <v>0</v>
      </c>
      <c r="AF68" s="17">
        <v>0</v>
      </c>
      <c r="AG68" s="17">
        <v>592000</v>
      </c>
      <c r="AH68" s="17" t="s">
        <v>98</v>
      </c>
      <c r="AI68" s="17">
        <v>0</v>
      </c>
      <c r="AJ68" s="17">
        <v>0</v>
      </c>
      <c r="AK68" s="17" t="s">
        <v>66</v>
      </c>
      <c r="AL68" s="17" t="s">
        <v>102</v>
      </c>
      <c r="AM68" s="17" t="s"/>
      <c r="AN68" s="17">
        <v>0</v>
      </c>
      <c r="AO68" s="17">
        <v>0</v>
      </c>
      <c r="AP68" s="17">
        <v>0</v>
      </c>
      <c r="AQ68" s="17">
        <v>0</v>
      </c>
      <c r="AR68" s="17">
        <v>0</v>
      </c>
    </row>
    <row r="69">
      <c r="A69" s="17">
        <v>63</v>
      </c>
      <c r="B69" s="17" t="s">
        <v>238</v>
      </c>
      <c r="C69" s="17" t="s"/>
      <c r="D69" s="17" t="s">
        <v>222</v>
      </c>
      <c r="E69" s="17" t="s">
        <v>223</v>
      </c>
      <c r="F69" s="17" t="s">
        <v>97</v>
      </c>
      <c r="G69" s="17" t="s">
        <v>237</v>
      </c>
      <c r="H69" s="17">
        <v>48000</v>
      </c>
      <c r="I69" s="17">
        <v>-24000</v>
      </c>
      <c r="J69" s="17">
        <v>0</v>
      </c>
      <c r="K69" s="17">
        <v>0</v>
      </c>
      <c r="L69" s="17">
        <v>0</v>
      </c>
      <c r="M69" s="17">
        <v>0</v>
      </c>
      <c r="N69" s="17">
        <v>0</v>
      </c>
      <c r="O69" s="17">
        <v>0</v>
      </c>
      <c r="P69" s="17">
        <v>0</v>
      </c>
      <c r="Q69" s="17">
        <v>0</v>
      </c>
      <c r="R69" s="17">
        <v>6500</v>
      </c>
      <c r="S69" s="17">
        <v>-6500</v>
      </c>
      <c r="T69" s="17">
        <v>0</v>
      </c>
      <c r="U69" s="17">
        <v>0</v>
      </c>
      <c r="V69" s="17">
        <v>0</v>
      </c>
      <c r="W69" s="17">
        <v>0</v>
      </c>
      <c r="X69" s="17">
        <v>-1008</v>
      </c>
      <c r="Y69" s="17">
        <v>-1992</v>
      </c>
      <c r="Z69" s="17">
        <v>-1250</v>
      </c>
      <c r="AA69" s="17">
        <v>0</v>
      </c>
      <c r="AB69" s="17">
        <v>0</v>
      </c>
      <c r="AC69" s="17">
        <v>0</v>
      </c>
      <c r="AD69" s="17">
        <v>0</v>
      </c>
      <c r="AE69" s="17">
        <v>0</v>
      </c>
      <c r="AF69" s="17">
        <v>0</v>
      </c>
      <c r="AG69" s="17">
        <v>19750</v>
      </c>
      <c r="AH69" s="17" t="s"/>
      <c r="AI69" s="17">
        <v>0</v>
      </c>
      <c r="AJ69" s="17">
        <v>0</v>
      </c>
      <c r="AK69" s="17" t="s">
        <v>66</v>
      </c>
      <c r="AL69" s="17" t="s">
        <v>67</v>
      </c>
      <c r="AM69" s="17" t="s"/>
      <c r="AN69" s="17">
        <v>0</v>
      </c>
      <c r="AO69" s="17">
        <v>0</v>
      </c>
      <c r="AP69" s="17">
        <v>0</v>
      </c>
      <c r="AQ69" s="17">
        <v>0</v>
      </c>
      <c r="AR69" s="17">
        <v>0</v>
      </c>
    </row>
    <row r="70">
      <c r="A70" s="17">
        <v>64</v>
      </c>
      <c r="B70" s="17" t="s">
        <v>239</v>
      </c>
      <c r="C70" s="17" t="s"/>
      <c r="D70" s="17" t="s">
        <v>240</v>
      </c>
      <c r="E70" s="17" t="s">
        <v>154</v>
      </c>
      <c r="F70" s="17" t="s">
        <v>97</v>
      </c>
      <c r="G70" s="17" t="s">
        <v>237</v>
      </c>
      <c r="H70" s="17">
        <v>1459000</v>
      </c>
      <c r="I70" s="17">
        <v>0</v>
      </c>
      <c r="J70" s="17">
        <v>0</v>
      </c>
      <c r="K70" s="17">
        <v>0</v>
      </c>
      <c r="L70" s="17">
        <v>-20000</v>
      </c>
      <c r="M70" s="17">
        <v>0</v>
      </c>
      <c r="N70" s="17">
        <v>0</v>
      </c>
      <c r="O70" s="17">
        <v>0</v>
      </c>
      <c r="P70" s="17">
        <v>0</v>
      </c>
      <c r="Q70" s="17">
        <v>0</v>
      </c>
      <c r="R70" s="17">
        <v>29000</v>
      </c>
      <c r="S70" s="17">
        <v>-29000</v>
      </c>
      <c r="T70" s="17">
        <v>0</v>
      </c>
      <c r="U70" s="17">
        <v>0</v>
      </c>
      <c r="V70" s="17">
        <v>0</v>
      </c>
      <c r="W70" s="17">
        <v>-98393</v>
      </c>
      <c r="X70" s="17">
        <v>-60438</v>
      </c>
      <c r="Y70" s="17">
        <v>-85902</v>
      </c>
      <c r="Z70" s="17">
        <v>-1250</v>
      </c>
      <c r="AA70" s="17">
        <v>0</v>
      </c>
      <c r="AB70" s="17">
        <v>0</v>
      </c>
      <c r="AC70" s="17">
        <v>0</v>
      </c>
      <c r="AD70" s="17">
        <v>0</v>
      </c>
      <c r="AE70" s="17">
        <v>0</v>
      </c>
      <c r="AF70" s="17">
        <v>0</v>
      </c>
      <c r="AG70" s="17">
        <v>1193017</v>
      </c>
      <c r="AH70" s="17" t="s">
        <v>98</v>
      </c>
      <c r="AI70" s="17">
        <v>0</v>
      </c>
      <c r="AJ70" s="17">
        <v>0</v>
      </c>
      <c r="AK70" s="17" t="s">
        <v>123</v>
      </c>
      <c r="AL70" s="17" t="s">
        <v>124</v>
      </c>
      <c r="AM70" s="17" t="s"/>
      <c r="AN70" s="17">
        <v>0</v>
      </c>
      <c r="AO70" s="17">
        <v>0</v>
      </c>
      <c r="AP70" s="17">
        <v>0</v>
      </c>
      <c r="AQ70" s="17">
        <v>0</v>
      </c>
      <c r="AR70" s="17">
        <v>0</v>
      </c>
    </row>
    <row r="71">
      <c r="A71" s="17">
        <v>65</v>
      </c>
      <c r="B71" s="17" t="s">
        <v>241</v>
      </c>
      <c r="C71" s="17" t="s"/>
      <c r="D71" s="17" t="s">
        <v>242</v>
      </c>
      <c r="E71" s="17" t="s">
        <v>154</v>
      </c>
      <c r="F71" s="17" t="s">
        <v>70</v>
      </c>
      <c r="G71" s="17" t="s">
        <v>237</v>
      </c>
      <c r="H71" s="17">
        <v>2293000</v>
      </c>
      <c r="I71" s="17">
        <v>-1596000</v>
      </c>
      <c r="J71" s="17">
        <v>0</v>
      </c>
      <c r="K71" s="17">
        <v>0</v>
      </c>
      <c r="L71" s="17">
        <v>-40000</v>
      </c>
      <c r="M71" s="17">
        <v>0</v>
      </c>
      <c r="N71" s="17">
        <v>0</v>
      </c>
      <c r="O71" s="17">
        <v>0</v>
      </c>
      <c r="P71" s="17">
        <v>0</v>
      </c>
      <c r="Q71" s="17">
        <v>0</v>
      </c>
      <c r="R71" s="17">
        <v>52000</v>
      </c>
      <c r="S71" s="17">
        <v>-52000</v>
      </c>
      <c r="T71" s="17">
        <v>0</v>
      </c>
      <c r="U71" s="17">
        <v>0</v>
      </c>
      <c r="V71" s="17">
        <v>0</v>
      </c>
      <c r="W71" s="17">
        <v>0</v>
      </c>
      <c r="X71" s="17">
        <v>-27594</v>
      </c>
      <c r="Y71" s="17">
        <v>-41391</v>
      </c>
      <c r="Z71" s="17">
        <v>-1250</v>
      </c>
      <c r="AA71" s="17">
        <v>0</v>
      </c>
      <c r="AB71" s="17">
        <v>0</v>
      </c>
      <c r="AC71" s="17">
        <v>0</v>
      </c>
      <c r="AD71" s="17">
        <v>0</v>
      </c>
      <c r="AE71" s="17">
        <v>0</v>
      </c>
      <c r="AF71" s="17">
        <v>0</v>
      </c>
      <c r="AG71" s="17">
        <v>586765</v>
      </c>
      <c r="AH71" s="17" t="s">
        <v>93</v>
      </c>
      <c r="AI71" s="17">
        <v>0</v>
      </c>
      <c r="AJ71" s="17">
        <v>0</v>
      </c>
      <c r="AK71" s="17" t="s">
        <v>66</v>
      </c>
      <c r="AL71" s="17" t="s">
        <v>102</v>
      </c>
      <c r="AM71" s="17" t="s"/>
      <c r="AN71" s="17">
        <v>0</v>
      </c>
      <c r="AO71" s="17">
        <v>0</v>
      </c>
      <c r="AP71" s="17">
        <v>0</v>
      </c>
      <c r="AQ71" s="17">
        <v>0</v>
      </c>
      <c r="AR71" s="17">
        <v>0</v>
      </c>
    </row>
    <row r="72">
      <c r="A72" s="17">
        <v>66</v>
      </c>
      <c r="B72" s="17" t="s">
        <v>243</v>
      </c>
      <c r="C72" s="17" t="s"/>
      <c r="D72" s="17" t="s">
        <v>244</v>
      </c>
      <c r="E72" s="17" t="s">
        <v>206</v>
      </c>
      <c r="F72" s="17" t="s">
        <v>132</v>
      </c>
      <c r="G72" s="17" t="s">
        <v>237</v>
      </c>
      <c r="H72" s="17">
        <v>222000</v>
      </c>
      <c r="I72" s="17">
        <v>-135000</v>
      </c>
      <c r="J72" s="17">
        <v>0</v>
      </c>
      <c r="K72" s="17">
        <v>0</v>
      </c>
      <c r="L72" s="17">
        <v>0</v>
      </c>
      <c r="M72" s="17">
        <v>0</v>
      </c>
      <c r="N72" s="17">
        <v>0</v>
      </c>
      <c r="O72" s="17">
        <v>0</v>
      </c>
      <c r="P72" s="17">
        <v>18000</v>
      </c>
      <c r="Q72" s="17">
        <v>0</v>
      </c>
      <c r="R72" s="17">
        <v>0</v>
      </c>
      <c r="S72" s="17">
        <v>-18000</v>
      </c>
      <c r="T72" s="17">
        <v>0</v>
      </c>
      <c r="U72" s="17">
        <v>0</v>
      </c>
      <c r="V72" s="17">
        <v>0</v>
      </c>
      <c r="W72" s="17">
        <v>-2652</v>
      </c>
      <c r="X72" s="17">
        <v>-3654</v>
      </c>
      <c r="Y72" s="17">
        <v>-7221</v>
      </c>
      <c r="Z72" s="17">
        <v>-1250</v>
      </c>
      <c r="AA72" s="17">
        <v>0</v>
      </c>
      <c r="AB72" s="17">
        <v>0</v>
      </c>
      <c r="AC72" s="17">
        <v>0</v>
      </c>
      <c r="AD72" s="17">
        <v>0</v>
      </c>
      <c r="AE72" s="17">
        <v>0</v>
      </c>
      <c r="AF72" s="17">
        <v>0</v>
      </c>
      <c r="AG72" s="17">
        <v>72223</v>
      </c>
      <c r="AH72" s="17" t="s"/>
      <c r="AI72" s="17">
        <v>0</v>
      </c>
      <c r="AJ72" s="17">
        <v>0</v>
      </c>
      <c r="AK72" s="17" t="s">
        <v>245</v>
      </c>
      <c r="AL72" s="17" t="s">
        <v>246</v>
      </c>
      <c r="AM72" s="17" t="s"/>
      <c r="AN72" s="17">
        <v>0</v>
      </c>
      <c r="AO72" s="17">
        <v>0</v>
      </c>
      <c r="AP72" s="17">
        <v>0</v>
      </c>
      <c r="AQ72" s="17">
        <v>0</v>
      </c>
      <c r="AR72" s="17">
        <v>0</v>
      </c>
    </row>
    <row r="73">
      <c r="A73" s="17">
        <v>67</v>
      </c>
      <c r="B73" s="17" t="s">
        <v>247</v>
      </c>
      <c r="C73" s="17" t="s"/>
      <c r="D73" s="17" t="s">
        <v>248</v>
      </c>
      <c r="E73" s="17" t="s">
        <v>163</v>
      </c>
      <c r="F73" s="17" t="s">
        <v>65</v>
      </c>
      <c r="G73" s="17" t="s">
        <v>237</v>
      </c>
      <c r="H73" s="17">
        <v>48000</v>
      </c>
      <c r="I73" s="17">
        <v>-24000</v>
      </c>
      <c r="J73" s="17">
        <v>0</v>
      </c>
      <c r="K73" s="17">
        <v>0</v>
      </c>
      <c r="L73" s="17">
        <v>0</v>
      </c>
      <c r="M73" s="17">
        <v>0</v>
      </c>
      <c r="N73" s="17">
        <v>0</v>
      </c>
      <c r="O73" s="17">
        <v>0</v>
      </c>
      <c r="P73" s="17">
        <v>0</v>
      </c>
      <c r="Q73" s="17">
        <v>0</v>
      </c>
      <c r="R73" s="17">
        <v>3500</v>
      </c>
      <c r="S73" s="17">
        <v>-3500</v>
      </c>
      <c r="T73" s="17">
        <v>0</v>
      </c>
      <c r="U73" s="17">
        <v>0</v>
      </c>
      <c r="V73" s="17">
        <v>0</v>
      </c>
      <c r="W73" s="17">
        <v>0</v>
      </c>
      <c r="X73" s="17">
        <v>-1008</v>
      </c>
      <c r="Y73" s="17">
        <v>-1512</v>
      </c>
      <c r="Z73" s="17">
        <v>-1250</v>
      </c>
      <c r="AA73" s="17">
        <v>0</v>
      </c>
      <c r="AB73" s="17">
        <v>0</v>
      </c>
      <c r="AC73" s="17">
        <v>0</v>
      </c>
      <c r="AD73" s="17">
        <v>0</v>
      </c>
      <c r="AE73" s="17">
        <v>0</v>
      </c>
      <c r="AF73" s="17">
        <v>0</v>
      </c>
      <c r="AG73" s="17">
        <v>20230</v>
      </c>
      <c r="AH73" s="17" t="s"/>
      <c r="AI73" s="17">
        <v>0</v>
      </c>
      <c r="AJ73" s="17">
        <v>0</v>
      </c>
      <c r="AK73" s="17" t="s">
        <v>79</v>
      </c>
      <c r="AL73" s="17" t="s">
        <v>72</v>
      </c>
      <c r="AM73" s="17" t="s"/>
      <c r="AN73" s="17">
        <v>0</v>
      </c>
      <c r="AO73" s="17">
        <v>0</v>
      </c>
      <c r="AP73" s="17">
        <v>0</v>
      </c>
      <c r="AQ73" s="17">
        <v>0</v>
      </c>
      <c r="AR73" s="17">
        <v>0</v>
      </c>
    </row>
    <row r="74">
      <c r="A74" s="17">
        <v>68</v>
      </c>
      <c r="B74" s="17" t="s">
        <v>249</v>
      </c>
      <c r="C74" s="17" t="s"/>
      <c r="D74" s="17" t="s">
        <v>250</v>
      </c>
      <c r="E74" s="17" t="s">
        <v>206</v>
      </c>
      <c r="F74" s="17" t="s">
        <v>70</v>
      </c>
      <c r="G74" s="17" t="s">
        <v>251</v>
      </c>
      <c r="H74" s="17">
        <v>48000</v>
      </c>
      <c r="I74" s="17">
        <v>-24000</v>
      </c>
      <c r="J74" s="17">
        <v>0</v>
      </c>
      <c r="K74" s="17">
        <v>0</v>
      </c>
      <c r="L74" s="17">
        <v>0</v>
      </c>
      <c r="M74" s="17">
        <v>0</v>
      </c>
      <c r="N74" s="17">
        <v>0</v>
      </c>
      <c r="O74" s="17">
        <v>0</v>
      </c>
      <c r="P74" s="17">
        <v>0</v>
      </c>
      <c r="Q74" s="17">
        <v>0</v>
      </c>
      <c r="R74" s="17">
        <v>8000</v>
      </c>
      <c r="S74" s="17">
        <v>-8000</v>
      </c>
      <c r="T74" s="17">
        <v>0</v>
      </c>
      <c r="U74" s="17">
        <v>0</v>
      </c>
      <c r="V74" s="17">
        <v>0</v>
      </c>
      <c r="W74" s="17">
        <v>-639</v>
      </c>
      <c r="X74" s="17">
        <v>-1008</v>
      </c>
      <c r="Y74" s="17">
        <v>-1992</v>
      </c>
      <c r="Z74" s="17">
        <v>-1250</v>
      </c>
      <c r="AA74" s="17">
        <v>0</v>
      </c>
      <c r="AB74" s="17">
        <v>0</v>
      </c>
      <c r="AC74" s="17">
        <v>0</v>
      </c>
      <c r="AD74" s="17">
        <v>0</v>
      </c>
      <c r="AE74" s="17">
        <v>0</v>
      </c>
      <c r="AF74" s="17">
        <v>0</v>
      </c>
      <c r="AG74" s="17">
        <v>19111</v>
      </c>
      <c r="AH74" s="17" t="s"/>
      <c r="AI74" s="17">
        <v>0</v>
      </c>
      <c r="AJ74" s="17">
        <v>0</v>
      </c>
      <c r="AK74" s="17" t="s">
        <v>66</v>
      </c>
      <c r="AL74" s="17" t="s">
        <v>67</v>
      </c>
      <c r="AM74" s="17" t="s"/>
      <c r="AN74" s="17">
        <v>0</v>
      </c>
      <c r="AO74" s="17">
        <v>0</v>
      </c>
      <c r="AP74" s="17">
        <v>0</v>
      </c>
      <c r="AQ74" s="17">
        <v>0</v>
      </c>
      <c r="AR74" s="17">
        <v>0</v>
      </c>
    </row>
    <row r="75">
      <c r="A75" s="17">
        <v>69</v>
      </c>
      <c r="B75" s="17" t="s">
        <v>252</v>
      </c>
      <c r="C75" s="17" t="s"/>
      <c r="D75" s="17" t="s">
        <v>253</v>
      </c>
      <c r="E75" s="17" t="s">
        <v>163</v>
      </c>
      <c r="F75" s="17" t="s">
        <v>65</v>
      </c>
      <c r="G75" s="17" t="s">
        <v>251</v>
      </c>
      <c r="H75" s="17">
        <v>222000</v>
      </c>
      <c r="I75" s="17">
        <v>-135000</v>
      </c>
      <c r="J75" s="17">
        <v>0</v>
      </c>
      <c r="K75" s="17">
        <v>0</v>
      </c>
      <c r="L75" s="17">
        <v>0</v>
      </c>
      <c r="M75" s="17">
        <v>0</v>
      </c>
      <c r="N75" s="17">
        <v>0</v>
      </c>
      <c r="O75" s="17">
        <v>0</v>
      </c>
      <c r="P75" s="17">
        <v>0</v>
      </c>
      <c r="Q75" s="17">
        <v>0</v>
      </c>
      <c r="R75" s="17">
        <v>6500</v>
      </c>
      <c r="S75" s="17">
        <v>-6500</v>
      </c>
      <c r="T75" s="17">
        <v>0</v>
      </c>
      <c r="U75" s="17">
        <v>0</v>
      </c>
      <c r="V75" s="17">
        <v>0</v>
      </c>
      <c r="W75" s="17">
        <v>0</v>
      </c>
      <c r="X75" s="17">
        <v>-3654</v>
      </c>
      <c r="Y75" s="17">
        <v>-5481</v>
      </c>
      <c r="Z75" s="17">
        <v>-1250</v>
      </c>
      <c r="AA75" s="17">
        <v>0</v>
      </c>
      <c r="AB75" s="17">
        <v>0</v>
      </c>
      <c r="AC75" s="17">
        <v>0</v>
      </c>
      <c r="AD75" s="17">
        <v>0</v>
      </c>
      <c r="AE75" s="17">
        <v>0</v>
      </c>
      <c r="AF75" s="17">
        <v>0</v>
      </c>
      <c r="AG75" s="17">
        <v>76615</v>
      </c>
      <c r="AH75" s="17" t="s"/>
      <c r="AI75" s="17">
        <v>0</v>
      </c>
      <c r="AJ75" s="17">
        <v>0</v>
      </c>
      <c r="AK75" s="17" t="s">
        <v>66</v>
      </c>
      <c r="AL75" s="17" t="s">
        <v>67</v>
      </c>
      <c r="AM75" s="17" t="s"/>
      <c r="AN75" s="17">
        <v>0</v>
      </c>
      <c r="AO75" s="17">
        <v>0</v>
      </c>
      <c r="AP75" s="17">
        <v>0</v>
      </c>
      <c r="AQ75" s="17">
        <v>0</v>
      </c>
      <c r="AR75" s="17">
        <v>0</v>
      </c>
    </row>
    <row r="76">
      <c r="A76" s="17">
        <v>70</v>
      </c>
      <c r="B76" s="17" t="s">
        <v>254</v>
      </c>
      <c r="C76" s="17" t="s"/>
      <c r="D76" s="17" t="s">
        <v>255</v>
      </c>
      <c r="E76" s="17" t="s">
        <v>223</v>
      </c>
      <c r="F76" s="17" t="s">
        <v>70</v>
      </c>
      <c r="G76" s="17" t="s">
        <v>251</v>
      </c>
      <c r="H76" s="17">
        <v>3339000</v>
      </c>
      <c r="I76" s="17">
        <v>-2190000</v>
      </c>
      <c r="J76" s="17">
        <v>0</v>
      </c>
      <c r="K76" s="17">
        <v>0</v>
      </c>
      <c r="L76" s="17">
        <v>0</v>
      </c>
      <c r="M76" s="17">
        <v>0</v>
      </c>
      <c r="N76" s="17">
        <v>0</v>
      </c>
      <c r="O76" s="17">
        <v>0</v>
      </c>
      <c r="P76" s="17">
        <v>0</v>
      </c>
      <c r="Q76" s="17">
        <v>0</v>
      </c>
      <c r="R76" s="17">
        <v>14000</v>
      </c>
      <c r="S76" s="17">
        <v>-14000</v>
      </c>
      <c r="T76" s="17">
        <v>0</v>
      </c>
      <c r="U76" s="17">
        <v>0</v>
      </c>
      <c r="V76" s="17">
        <v>0</v>
      </c>
      <c r="W76" s="17">
        <v>-33079</v>
      </c>
      <c r="X76" s="17">
        <v>-48258</v>
      </c>
      <c r="Y76" s="17">
        <v>-95367</v>
      </c>
      <c r="Z76" s="17">
        <v>-1250</v>
      </c>
      <c r="AA76" s="17">
        <v>0</v>
      </c>
      <c r="AB76" s="17">
        <v>0</v>
      </c>
      <c r="AC76" s="17">
        <v>0</v>
      </c>
      <c r="AD76" s="17">
        <v>0</v>
      </c>
      <c r="AE76" s="17">
        <v>0</v>
      </c>
      <c r="AF76" s="17">
        <v>0</v>
      </c>
      <c r="AG76" s="17">
        <v>971046</v>
      </c>
      <c r="AH76" s="17" t="s"/>
      <c r="AI76" s="17">
        <v>0</v>
      </c>
      <c r="AJ76" s="17">
        <v>0</v>
      </c>
      <c r="AK76" s="17" t="s">
        <v>148</v>
      </c>
      <c r="AL76" s="17" t="s">
        <v>149</v>
      </c>
      <c r="AM76" s="17" t="s"/>
      <c r="AN76" s="17">
        <v>0</v>
      </c>
      <c r="AO76" s="17">
        <v>0</v>
      </c>
      <c r="AP76" s="17">
        <v>0</v>
      </c>
      <c r="AQ76" s="17">
        <v>0</v>
      </c>
      <c r="AR76" s="17">
        <v>0</v>
      </c>
    </row>
    <row r="77">
      <c r="A77" s="17">
        <v>71</v>
      </c>
      <c r="B77" s="17" t="s">
        <v>256</v>
      </c>
      <c r="C77" s="17" t="s"/>
      <c r="D77" s="17" t="s">
        <v>257</v>
      </c>
      <c r="E77" s="17" t="s">
        <v>223</v>
      </c>
      <c r="F77" s="17" t="s">
        <v>70</v>
      </c>
      <c r="G77" s="17" t="s">
        <v>251</v>
      </c>
      <c r="H77" s="17">
        <v>222000</v>
      </c>
      <c r="I77" s="17">
        <v>-135000</v>
      </c>
      <c r="J77" s="17">
        <v>0</v>
      </c>
      <c r="K77" s="17">
        <v>0</v>
      </c>
      <c r="L77" s="17">
        <v>0</v>
      </c>
      <c r="M77" s="17">
        <v>0</v>
      </c>
      <c r="N77" s="17">
        <v>0</v>
      </c>
      <c r="O77" s="17">
        <v>0</v>
      </c>
      <c r="P77" s="17">
        <v>0</v>
      </c>
      <c r="Q77" s="17">
        <v>0</v>
      </c>
      <c r="R77" s="17">
        <v>6500</v>
      </c>
      <c r="S77" s="17">
        <v>-6500</v>
      </c>
      <c r="T77" s="17">
        <v>0</v>
      </c>
      <c r="U77" s="17">
        <v>0</v>
      </c>
      <c r="V77" s="17">
        <v>0</v>
      </c>
      <c r="W77" s="17">
        <v>-2897</v>
      </c>
      <c r="X77" s="17">
        <v>-3654</v>
      </c>
      <c r="Y77" s="17">
        <v>-7221</v>
      </c>
      <c r="Z77" s="17">
        <v>-1250</v>
      </c>
      <c r="AA77" s="17">
        <v>0</v>
      </c>
      <c r="AB77" s="17">
        <v>0</v>
      </c>
      <c r="AC77" s="17">
        <v>0</v>
      </c>
      <c r="AD77" s="17">
        <v>0</v>
      </c>
      <c r="AE77" s="17">
        <v>0</v>
      </c>
      <c r="AF77" s="17">
        <v>0</v>
      </c>
      <c r="AG77" s="17">
        <v>71978</v>
      </c>
      <c r="AH77" s="17" t="s"/>
      <c r="AI77" s="17">
        <v>0</v>
      </c>
      <c r="AJ77" s="17">
        <v>0</v>
      </c>
      <c r="AK77" s="17" t="s">
        <v>66</v>
      </c>
      <c r="AL77" s="17" t="s">
        <v>173</v>
      </c>
      <c r="AM77" s="17" t="s"/>
      <c r="AN77" s="17">
        <v>0</v>
      </c>
      <c r="AO77" s="17">
        <v>0</v>
      </c>
      <c r="AP77" s="17">
        <v>0</v>
      </c>
      <c r="AQ77" s="17">
        <v>0</v>
      </c>
      <c r="AR77" s="17">
        <v>0</v>
      </c>
    </row>
    <row r="78">
      <c r="A78" s="17">
        <v>72</v>
      </c>
      <c r="B78" s="17" t="s">
        <v>258</v>
      </c>
      <c r="C78" s="17" t="s"/>
      <c r="D78" s="17" t="s">
        <v>259</v>
      </c>
      <c r="E78" s="17" t="s">
        <v>188</v>
      </c>
      <c r="F78" s="17" t="s">
        <v>132</v>
      </c>
      <c r="G78" s="17" t="s">
        <v>251</v>
      </c>
      <c r="H78" s="17">
        <v>3339000</v>
      </c>
      <c r="I78" s="17">
        <v>-2190000</v>
      </c>
      <c r="J78" s="17">
        <v>0</v>
      </c>
      <c r="K78" s="17">
        <v>0</v>
      </c>
      <c r="L78" s="17">
        <v>-15000</v>
      </c>
      <c r="M78" s="17">
        <v>0</v>
      </c>
      <c r="N78" s="17">
        <v>0</v>
      </c>
      <c r="O78" s="17">
        <v>0</v>
      </c>
      <c r="P78" s="17">
        <v>0</v>
      </c>
      <c r="Q78" s="17">
        <v>0</v>
      </c>
      <c r="R78" s="17">
        <v>17000</v>
      </c>
      <c r="S78" s="17">
        <v>-17000</v>
      </c>
      <c r="T78" s="17">
        <v>0</v>
      </c>
      <c r="U78" s="17">
        <v>0</v>
      </c>
      <c r="V78" s="17">
        <v>0</v>
      </c>
      <c r="W78" s="17">
        <v>-68864</v>
      </c>
      <c r="X78" s="17">
        <v>-47628</v>
      </c>
      <c r="Y78" s="17">
        <v>-94122</v>
      </c>
      <c r="Z78" s="17">
        <v>-1250</v>
      </c>
      <c r="AA78" s="17">
        <v>0</v>
      </c>
      <c r="AB78" s="17">
        <v>0</v>
      </c>
      <c r="AC78" s="17">
        <v>0</v>
      </c>
      <c r="AD78" s="17">
        <v>0</v>
      </c>
      <c r="AE78" s="17">
        <v>0</v>
      </c>
      <c r="AF78" s="17">
        <v>0</v>
      </c>
      <c r="AG78" s="17">
        <v>922136</v>
      </c>
      <c r="AH78" s="17" t="s">
        <v>224</v>
      </c>
      <c r="AI78" s="17">
        <v>0</v>
      </c>
      <c r="AJ78" s="17">
        <v>0</v>
      </c>
      <c r="AK78" s="17" t="s">
        <v>260</v>
      </c>
      <c r="AL78" s="17" t="s">
        <v>260</v>
      </c>
      <c r="AM78" s="17" t="s"/>
      <c r="AN78" s="17">
        <v>0</v>
      </c>
      <c r="AO78" s="17">
        <v>0</v>
      </c>
      <c r="AP78" s="17">
        <v>0</v>
      </c>
      <c r="AQ78" s="17">
        <v>0</v>
      </c>
      <c r="AR78" s="17">
        <v>0</v>
      </c>
    </row>
    <row r="79">
      <c r="A79" s="17">
        <v>73</v>
      </c>
      <c r="B79" s="17" t="s">
        <v>261</v>
      </c>
      <c r="C79" s="17" t="s"/>
      <c r="D79" s="17" t="s">
        <v>262</v>
      </c>
      <c r="E79" s="17" t="s">
        <v>188</v>
      </c>
      <c r="F79" s="17" t="s">
        <v>70</v>
      </c>
      <c r="G79" s="17" t="s">
        <v>251</v>
      </c>
      <c r="H79" s="17">
        <v>1459000</v>
      </c>
      <c r="I79" s="17">
        <v>0</v>
      </c>
      <c r="J79" s="17">
        <v>0</v>
      </c>
      <c r="K79" s="17">
        <v>0</v>
      </c>
      <c r="L79" s="17">
        <v>-20000</v>
      </c>
      <c r="M79" s="17">
        <v>0</v>
      </c>
      <c r="N79" s="17">
        <v>0</v>
      </c>
      <c r="O79" s="17">
        <v>0</v>
      </c>
      <c r="P79" s="17">
        <v>400</v>
      </c>
      <c r="Q79" s="17">
        <v>0</v>
      </c>
      <c r="R79" s="17">
        <v>60000</v>
      </c>
      <c r="S79" s="17">
        <v>-60400</v>
      </c>
      <c r="T79" s="17">
        <v>0</v>
      </c>
      <c r="U79" s="17">
        <v>0</v>
      </c>
      <c r="V79" s="17">
        <v>0</v>
      </c>
      <c r="W79" s="17">
        <v>0</v>
      </c>
      <c r="X79" s="17">
        <v>-60438</v>
      </c>
      <c r="Y79" s="17">
        <v>-105902</v>
      </c>
      <c r="Z79" s="17">
        <v>-1250</v>
      </c>
      <c r="AA79" s="17">
        <v>0</v>
      </c>
      <c r="AB79" s="17">
        <v>0</v>
      </c>
      <c r="AC79" s="17">
        <v>0</v>
      </c>
      <c r="AD79" s="17">
        <v>0</v>
      </c>
      <c r="AE79" s="17">
        <v>0</v>
      </c>
      <c r="AF79" s="17">
        <v>0</v>
      </c>
      <c r="AG79" s="17">
        <v>1271410</v>
      </c>
      <c r="AH79" s="17" t="s">
        <v>98</v>
      </c>
      <c r="AI79" s="17">
        <v>0</v>
      </c>
      <c r="AJ79" s="17">
        <v>0</v>
      </c>
      <c r="AK79" s="17" t="s">
        <v>67</v>
      </c>
      <c r="AL79" s="17" t="s">
        <v>67</v>
      </c>
      <c r="AM79" s="17" t="s"/>
      <c r="AN79" s="17">
        <v>0</v>
      </c>
      <c r="AO79" s="17">
        <v>0</v>
      </c>
      <c r="AP79" s="17">
        <v>0</v>
      </c>
      <c r="AQ79" s="17">
        <v>0</v>
      </c>
      <c r="AR79" s="17">
        <v>0</v>
      </c>
    </row>
    <row r="80">
      <c r="A80" s="17">
        <v>74</v>
      </c>
      <c r="B80" s="17" t="s">
        <v>263</v>
      </c>
      <c r="C80" s="17" t="s"/>
      <c r="D80" s="17" t="s">
        <v>264</v>
      </c>
      <c r="E80" s="17" t="s">
        <v>188</v>
      </c>
      <c r="F80" s="17" t="s">
        <v>132</v>
      </c>
      <c r="G80" s="17" t="s">
        <v>251</v>
      </c>
      <c r="H80" s="17">
        <v>2293000</v>
      </c>
      <c r="I80" s="17">
        <v>-1595000</v>
      </c>
      <c r="J80" s="17">
        <v>0</v>
      </c>
      <c r="K80" s="17">
        <v>0</v>
      </c>
      <c r="L80" s="17">
        <v>-40000</v>
      </c>
      <c r="M80" s="17">
        <v>0</v>
      </c>
      <c r="N80" s="17">
        <v>0</v>
      </c>
      <c r="O80" s="17">
        <v>0</v>
      </c>
      <c r="P80" s="17">
        <v>0</v>
      </c>
      <c r="Q80" s="17">
        <v>0</v>
      </c>
      <c r="R80" s="17">
        <v>10000</v>
      </c>
      <c r="S80" s="17">
        <v>-10000</v>
      </c>
      <c r="T80" s="17">
        <v>0</v>
      </c>
      <c r="U80" s="17">
        <v>0</v>
      </c>
      <c r="V80" s="17">
        <v>0</v>
      </c>
      <c r="W80" s="17">
        <v>0</v>
      </c>
      <c r="X80" s="17">
        <v>-27636</v>
      </c>
      <c r="Y80" s="17">
        <v>-54614</v>
      </c>
      <c r="Z80" s="17">
        <v>-1250</v>
      </c>
      <c r="AA80" s="17">
        <v>0</v>
      </c>
      <c r="AB80" s="17">
        <v>0</v>
      </c>
      <c r="AC80" s="17">
        <v>-13160</v>
      </c>
      <c r="AD80" s="17">
        <v>0</v>
      </c>
      <c r="AE80" s="17">
        <v>0</v>
      </c>
      <c r="AF80" s="17">
        <v>0</v>
      </c>
      <c r="AG80" s="17">
        <v>561340</v>
      </c>
      <c r="AH80" s="17" t="s">
        <v>93</v>
      </c>
      <c r="AI80" s="17">
        <v>0</v>
      </c>
      <c r="AJ80" s="17">
        <v>0</v>
      </c>
      <c r="AK80" s="17" t="s">
        <v>66</v>
      </c>
      <c r="AL80" s="17" t="s">
        <v>67</v>
      </c>
      <c r="AM80" s="17" t="s"/>
      <c r="AN80" s="17">
        <v>0</v>
      </c>
      <c r="AO80" s="17">
        <v>0</v>
      </c>
      <c r="AP80" s="17">
        <v>0</v>
      </c>
      <c r="AQ80" s="17">
        <v>0</v>
      </c>
      <c r="AR80" s="17">
        <v>0</v>
      </c>
    </row>
    <row r="81">
      <c r="A81" s="17">
        <v>75</v>
      </c>
      <c r="B81" s="17" t="s">
        <v>265</v>
      </c>
      <c r="C81" s="17" t="s"/>
      <c r="D81" s="17" t="s">
        <v>266</v>
      </c>
      <c r="E81" s="17" t="s">
        <v>223</v>
      </c>
      <c r="F81" s="17" t="s">
        <v>97</v>
      </c>
      <c r="G81" s="17" t="s">
        <v>267</v>
      </c>
      <c r="H81" s="17">
        <v>96000</v>
      </c>
      <c r="I81" s="17">
        <v>-48000</v>
      </c>
      <c r="J81" s="17">
        <v>0</v>
      </c>
      <c r="K81" s="17">
        <v>0</v>
      </c>
      <c r="L81" s="17">
        <v>0</v>
      </c>
      <c r="M81" s="17">
        <v>0</v>
      </c>
      <c r="N81" s="17">
        <v>0</v>
      </c>
      <c r="O81" s="17">
        <v>0</v>
      </c>
      <c r="P81" s="17">
        <v>0</v>
      </c>
      <c r="Q81" s="17">
        <v>0</v>
      </c>
      <c r="R81" s="17">
        <v>6500</v>
      </c>
      <c r="S81" s="17">
        <v>-6500</v>
      </c>
      <c r="T81" s="17">
        <v>0</v>
      </c>
      <c r="U81" s="17">
        <v>0</v>
      </c>
      <c r="V81" s="17">
        <v>0</v>
      </c>
      <c r="W81" s="17">
        <v>0</v>
      </c>
      <c r="X81" s="17">
        <v>-2016</v>
      </c>
      <c r="Y81" s="17">
        <v>-3984</v>
      </c>
      <c r="Z81" s="17">
        <v>-1250</v>
      </c>
      <c r="AA81" s="17">
        <v>0</v>
      </c>
      <c r="AB81" s="17">
        <v>0</v>
      </c>
      <c r="AC81" s="17">
        <v>0</v>
      </c>
      <c r="AD81" s="17">
        <v>0</v>
      </c>
      <c r="AE81" s="17">
        <v>0</v>
      </c>
      <c r="AF81" s="17">
        <v>0</v>
      </c>
      <c r="AG81" s="17">
        <v>40750</v>
      </c>
      <c r="AH81" s="17" t="s"/>
      <c r="AI81" s="17">
        <v>0</v>
      </c>
      <c r="AJ81" s="17">
        <v>0</v>
      </c>
      <c r="AK81" s="17" t="s">
        <v>66</v>
      </c>
      <c r="AL81" s="17" t="s">
        <v>173</v>
      </c>
      <c r="AM81" s="17" t="s"/>
      <c r="AN81" s="17">
        <v>0</v>
      </c>
      <c r="AO81" s="17">
        <v>0</v>
      </c>
      <c r="AP81" s="17">
        <v>0</v>
      </c>
      <c r="AQ81" s="17">
        <v>0</v>
      </c>
      <c r="AR81" s="17">
        <v>0</v>
      </c>
    </row>
    <row r="82">
      <c r="A82" s="17">
        <v>76</v>
      </c>
      <c r="B82" s="17" t="s">
        <v>268</v>
      </c>
      <c r="C82" s="17" t="s"/>
      <c r="D82" s="17" t="s">
        <v>269</v>
      </c>
      <c r="E82" s="17" t="s">
        <v>178</v>
      </c>
      <c r="F82" s="17" t="s">
        <v>132</v>
      </c>
      <c r="G82" s="17" t="s">
        <v>267</v>
      </c>
      <c r="H82" s="17">
        <v>698000</v>
      </c>
      <c r="I82" s="17">
        <v>0</v>
      </c>
      <c r="J82" s="17">
        <v>0</v>
      </c>
      <c r="K82" s="17">
        <v>0</v>
      </c>
      <c r="L82" s="17">
        <v>-40000</v>
      </c>
      <c r="M82" s="17">
        <v>0</v>
      </c>
      <c r="N82" s="17">
        <v>0</v>
      </c>
      <c r="O82" s="17">
        <v>0</v>
      </c>
      <c r="P82" s="17">
        <v>0</v>
      </c>
      <c r="Q82" s="17">
        <v>0</v>
      </c>
      <c r="R82" s="17">
        <v>16000</v>
      </c>
      <c r="S82" s="17">
        <v>-16000</v>
      </c>
      <c r="T82" s="17">
        <v>0</v>
      </c>
      <c r="U82" s="17">
        <v>0</v>
      </c>
      <c r="V82" s="17">
        <v>0</v>
      </c>
      <c r="W82" s="17">
        <v>-17792</v>
      </c>
      <c r="X82" s="17">
        <v>-27636</v>
      </c>
      <c r="Y82" s="17">
        <v>-54614</v>
      </c>
      <c r="Z82" s="17">
        <v>-1250</v>
      </c>
      <c r="AA82" s="17">
        <v>0</v>
      </c>
      <c r="AB82" s="17">
        <v>0</v>
      </c>
      <c r="AC82" s="17">
        <v>0</v>
      </c>
      <c r="AD82" s="17">
        <v>0</v>
      </c>
      <c r="AE82" s="17">
        <v>0</v>
      </c>
      <c r="AF82" s="17">
        <v>0</v>
      </c>
      <c r="AG82" s="17">
        <v>556708</v>
      </c>
      <c r="AH82" s="17" t="s">
        <v>93</v>
      </c>
      <c r="AI82" s="17">
        <v>0</v>
      </c>
      <c r="AJ82" s="17">
        <v>0</v>
      </c>
      <c r="AK82" s="17" t="s">
        <v>79</v>
      </c>
      <c r="AL82" s="17" t="s">
        <v>220</v>
      </c>
      <c r="AM82" s="17" t="s"/>
      <c r="AN82" s="17">
        <v>0</v>
      </c>
      <c r="AO82" s="17">
        <v>0</v>
      </c>
      <c r="AP82" s="17">
        <v>0</v>
      </c>
      <c r="AQ82" s="17">
        <v>0</v>
      </c>
      <c r="AR82" s="17">
        <v>0</v>
      </c>
    </row>
    <row r="83">
      <c r="A83" s="17">
        <v>77</v>
      </c>
      <c r="B83" s="17" t="s">
        <v>270</v>
      </c>
      <c r="C83" s="17" t="s"/>
      <c r="D83" s="17" t="s">
        <v>271</v>
      </c>
      <c r="E83" s="17" t="s">
        <v>211</v>
      </c>
      <c r="F83" s="17" t="s">
        <v>70</v>
      </c>
      <c r="G83" s="17" t="s">
        <v>267</v>
      </c>
      <c r="H83" s="17">
        <v>3339000</v>
      </c>
      <c r="I83" s="17">
        <v>-2190000</v>
      </c>
      <c r="J83" s="17">
        <v>0</v>
      </c>
      <c r="K83" s="17">
        <v>0</v>
      </c>
      <c r="L83" s="17">
        <v>-20000</v>
      </c>
      <c r="M83" s="17">
        <v>0</v>
      </c>
      <c r="N83" s="17">
        <v>0</v>
      </c>
      <c r="O83" s="17">
        <v>0</v>
      </c>
      <c r="P83" s="17">
        <v>0</v>
      </c>
      <c r="Q83" s="17">
        <v>0</v>
      </c>
      <c r="R83" s="17">
        <v>50000</v>
      </c>
      <c r="S83" s="17">
        <v>-50000</v>
      </c>
      <c r="T83" s="17">
        <v>0</v>
      </c>
      <c r="U83" s="17">
        <v>0</v>
      </c>
      <c r="V83" s="17">
        <v>0</v>
      </c>
      <c r="W83" s="17">
        <v>0</v>
      </c>
      <c r="X83" s="17">
        <v>-47418</v>
      </c>
      <c r="Y83" s="17">
        <v>-93707</v>
      </c>
      <c r="Z83" s="17">
        <v>-1250</v>
      </c>
      <c r="AA83" s="17">
        <v>0</v>
      </c>
      <c r="AB83" s="17">
        <v>0</v>
      </c>
      <c r="AC83" s="17">
        <v>0</v>
      </c>
      <c r="AD83" s="17">
        <v>0</v>
      </c>
      <c r="AE83" s="17">
        <v>0</v>
      </c>
      <c r="AF83" s="17">
        <v>0</v>
      </c>
      <c r="AG83" s="17">
        <v>986625</v>
      </c>
      <c r="AH83" s="17" t="s">
        <v>98</v>
      </c>
      <c r="AI83" s="17">
        <v>0</v>
      </c>
      <c r="AJ83" s="17">
        <v>0</v>
      </c>
      <c r="AK83" s="17" t="s">
        <v>66</v>
      </c>
      <c r="AL83" s="17" t="s">
        <v>102</v>
      </c>
      <c r="AM83" s="17" t="s"/>
      <c r="AN83" s="17">
        <v>0</v>
      </c>
      <c r="AO83" s="17">
        <v>0</v>
      </c>
      <c r="AP83" s="17">
        <v>0</v>
      </c>
      <c r="AQ83" s="17">
        <v>0</v>
      </c>
      <c r="AR83" s="17">
        <v>0</v>
      </c>
    </row>
    <row r="84">
      <c r="A84" s="17">
        <v>78</v>
      </c>
      <c r="B84" s="17" t="s">
        <v>272</v>
      </c>
      <c r="C84" s="17" t="s"/>
      <c r="D84" s="17" t="s">
        <v>273</v>
      </c>
      <c r="E84" s="17" t="s">
        <v>188</v>
      </c>
      <c r="F84" s="17" t="s">
        <v>70</v>
      </c>
      <c r="G84" s="17" t="s">
        <v>267</v>
      </c>
      <c r="H84" s="17">
        <v>2293000</v>
      </c>
      <c r="I84" s="17">
        <v>-1595000</v>
      </c>
      <c r="J84" s="17">
        <v>0</v>
      </c>
      <c r="K84" s="17">
        <v>0</v>
      </c>
      <c r="L84" s="17">
        <v>-40000</v>
      </c>
      <c r="M84" s="17">
        <v>0</v>
      </c>
      <c r="N84" s="17">
        <v>0</v>
      </c>
      <c r="O84" s="17">
        <v>0</v>
      </c>
      <c r="P84" s="17">
        <v>10000</v>
      </c>
      <c r="Q84" s="17">
        <v>0</v>
      </c>
      <c r="R84" s="17">
        <v>60000</v>
      </c>
      <c r="S84" s="17">
        <v>-105000</v>
      </c>
      <c r="T84" s="17">
        <v>0</v>
      </c>
      <c r="U84" s="17">
        <v>0</v>
      </c>
      <c r="V84" s="17">
        <v>0</v>
      </c>
      <c r="W84" s="17">
        <v>0</v>
      </c>
      <c r="X84" s="17">
        <v>-27636</v>
      </c>
      <c r="Y84" s="17">
        <v>-54614</v>
      </c>
      <c r="Z84" s="17">
        <v>-1250</v>
      </c>
      <c r="AA84" s="17">
        <v>0</v>
      </c>
      <c r="AB84" s="17">
        <v>0</v>
      </c>
      <c r="AC84" s="17">
        <v>0</v>
      </c>
      <c r="AD84" s="17">
        <v>0</v>
      </c>
      <c r="AE84" s="17">
        <v>0</v>
      </c>
      <c r="AF84" s="17">
        <v>0</v>
      </c>
      <c r="AG84" s="17">
        <v>539500</v>
      </c>
      <c r="AH84" s="17" t="s">
        <v>93</v>
      </c>
      <c r="AI84" s="17">
        <v>0</v>
      </c>
      <c r="AJ84" s="17">
        <v>0</v>
      </c>
      <c r="AK84" s="17" t="s">
        <v>66</v>
      </c>
      <c r="AL84" s="17" t="s">
        <v>274</v>
      </c>
      <c r="AM84" s="17" t="s"/>
      <c r="AN84" s="17">
        <v>0</v>
      </c>
      <c r="AO84" s="17">
        <v>0</v>
      </c>
      <c r="AP84" s="17">
        <v>0</v>
      </c>
      <c r="AQ84" s="17">
        <v>0</v>
      </c>
      <c r="AR84" s="17">
        <v>0</v>
      </c>
    </row>
    <row r="85">
      <c r="A85" s="17">
        <v>79</v>
      </c>
      <c r="B85" s="17" t="s">
        <v>275</v>
      </c>
      <c r="C85" s="17" t="s"/>
      <c r="D85" s="17" t="s">
        <v>276</v>
      </c>
      <c r="E85" s="17" t="s">
        <v>168</v>
      </c>
      <c r="F85" s="17" t="s">
        <v>132</v>
      </c>
      <c r="G85" s="17" t="s">
        <v>267</v>
      </c>
      <c r="H85" s="17">
        <v>2293000</v>
      </c>
      <c r="I85" s="17">
        <v>-1596000</v>
      </c>
      <c r="J85" s="17">
        <v>0</v>
      </c>
      <c r="K85" s="17">
        <v>0</v>
      </c>
      <c r="L85" s="17">
        <v>-40000</v>
      </c>
      <c r="M85" s="17">
        <v>0</v>
      </c>
      <c r="N85" s="17">
        <v>0</v>
      </c>
      <c r="O85" s="17">
        <v>0</v>
      </c>
      <c r="P85" s="17">
        <v>10400</v>
      </c>
      <c r="Q85" s="17">
        <v>0</v>
      </c>
      <c r="R85" s="17">
        <v>60000</v>
      </c>
      <c r="S85" s="17">
        <v>-70400</v>
      </c>
      <c r="T85" s="17">
        <v>0</v>
      </c>
      <c r="U85" s="17">
        <v>0</v>
      </c>
      <c r="V85" s="17">
        <v>0</v>
      </c>
      <c r="W85" s="17">
        <v>-17502</v>
      </c>
      <c r="X85" s="17">
        <v>-27594</v>
      </c>
      <c r="Y85" s="17">
        <v>-41391</v>
      </c>
      <c r="Z85" s="17">
        <v>-1250</v>
      </c>
      <c r="AA85" s="17">
        <v>0</v>
      </c>
      <c r="AB85" s="17">
        <v>0</v>
      </c>
      <c r="AC85" s="17">
        <v>-13400</v>
      </c>
      <c r="AD85" s="17">
        <v>0</v>
      </c>
      <c r="AE85" s="17">
        <v>0</v>
      </c>
      <c r="AF85" s="17">
        <v>0</v>
      </c>
      <c r="AG85" s="17">
        <v>555863</v>
      </c>
      <c r="AH85" s="17" t="s">
        <v>93</v>
      </c>
      <c r="AI85" s="17">
        <v>0</v>
      </c>
      <c r="AJ85" s="17">
        <v>0</v>
      </c>
      <c r="AK85" s="17" t="s">
        <v>67</v>
      </c>
      <c r="AL85" s="17" t="s">
        <v>67</v>
      </c>
      <c r="AM85" s="17" t="s"/>
      <c r="AN85" s="17">
        <v>0</v>
      </c>
      <c r="AO85" s="17">
        <v>0</v>
      </c>
      <c r="AP85" s="17">
        <v>0</v>
      </c>
      <c r="AQ85" s="17">
        <v>0</v>
      </c>
      <c r="AR85" s="17">
        <v>0</v>
      </c>
    </row>
    <row r="86">
      <c r="A86" s="17">
        <v>80</v>
      </c>
      <c r="B86" s="17" t="s">
        <v>277</v>
      </c>
      <c r="C86" s="17" t="s"/>
      <c r="D86" s="17" t="s">
        <v>278</v>
      </c>
      <c r="E86" s="17" t="s">
        <v>223</v>
      </c>
      <c r="F86" s="17" t="s">
        <v>132</v>
      </c>
      <c r="G86" s="17" t="s">
        <v>267</v>
      </c>
      <c r="H86" s="17">
        <v>270000</v>
      </c>
      <c r="I86" s="17">
        <v>-164000</v>
      </c>
      <c r="J86" s="17">
        <v>0</v>
      </c>
      <c r="K86" s="17">
        <v>0</v>
      </c>
      <c r="L86" s="17">
        <v>0</v>
      </c>
      <c r="M86" s="17">
        <v>0</v>
      </c>
      <c r="N86" s="17">
        <v>0</v>
      </c>
      <c r="O86" s="17">
        <v>0</v>
      </c>
      <c r="P86" s="17">
        <v>0</v>
      </c>
      <c r="Q86" s="17">
        <v>0</v>
      </c>
      <c r="R86" s="17">
        <v>6500</v>
      </c>
      <c r="S86" s="17">
        <v>-6500</v>
      </c>
      <c r="T86" s="17">
        <v>0</v>
      </c>
      <c r="U86" s="17">
        <v>0</v>
      </c>
      <c r="V86" s="17">
        <v>0</v>
      </c>
      <c r="W86" s="17">
        <v>0</v>
      </c>
      <c r="X86" s="17">
        <v>-4452</v>
      </c>
      <c r="Y86" s="17">
        <v>-8798</v>
      </c>
      <c r="Z86" s="17">
        <v>-1250</v>
      </c>
      <c r="AA86" s="17">
        <v>0</v>
      </c>
      <c r="AB86" s="17">
        <v>0</v>
      </c>
      <c r="AC86" s="17">
        <v>0</v>
      </c>
      <c r="AD86" s="17">
        <v>0</v>
      </c>
      <c r="AE86" s="17">
        <v>0</v>
      </c>
      <c r="AF86" s="17">
        <v>0</v>
      </c>
      <c r="AG86" s="17">
        <v>91500</v>
      </c>
      <c r="AH86" s="17" t="s"/>
      <c r="AI86" s="17">
        <v>0</v>
      </c>
      <c r="AJ86" s="17">
        <v>0</v>
      </c>
      <c r="AK86" s="17" t="s">
        <v>66</v>
      </c>
      <c r="AL86" s="17" t="s">
        <v>173</v>
      </c>
      <c r="AM86" s="17" t="s"/>
      <c r="AN86" s="17">
        <v>0</v>
      </c>
      <c r="AO86" s="17">
        <v>0</v>
      </c>
      <c r="AP86" s="17">
        <v>0</v>
      </c>
      <c r="AQ86" s="17">
        <v>0</v>
      </c>
      <c r="AR86" s="17">
        <v>0</v>
      </c>
    </row>
    <row r="87">
      <c r="A87" s="17">
        <v>81</v>
      </c>
      <c r="B87" s="17" t="s">
        <v>279</v>
      </c>
      <c r="C87" s="17" t="s"/>
      <c r="D87" s="17" t="s">
        <v>280</v>
      </c>
      <c r="E87" s="17" t="s">
        <v>178</v>
      </c>
      <c r="F87" s="17" t="s">
        <v>91</v>
      </c>
      <c r="G87" s="17" t="s">
        <v>281</v>
      </c>
      <c r="H87" s="17">
        <v>842000</v>
      </c>
      <c r="I87" s="17">
        <v>-13000</v>
      </c>
      <c r="J87" s="17">
        <v>0</v>
      </c>
      <c r="K87" s="17">
        <v>0</v>
      </c>
      <c r="L87" s="17">
        <v>-20000</v>
      </c>
      <c r="M87" s="17">
        <v>0</v>
      </c>
      <c r="N87" s="17">
        <v>0</v>
      </c>
      <c r="O87" s="17">
        <v>0</v>
      </c>
      <c r="P87" s="17">
        <v>0</v>
      </c>
      <c r="Q87" s="17">
        <v>0</v>
      </c>
      <c r="R87" s="17">
        <v>41000</v>
      </c>
      <c r="S87" s="17">
        <v>-41000</v>
      </c>
      <c r="T87" s="17">
        <v>0</v>
      </c>
      <c r="U87" s="17">
        <v>0</v>
      </c>
      <c r="V87" s="17">
        <v>0</v>
      </c>
      <c r="W87" s="17">
        <v>0</v>
      </c>
      <c r="X87" s="17">
        <v>-33978</v>
      </c>
      <c r="Y87" s="17">
        <v>-67147</v>
      </c>
      <c r="Z87" s="17">
        <v>-1250</v>
      </c>
      <c r="AA87" s="17">
        <v>0</v>
      </c>
      <c r="AB87" s="17">
        <v>0</v>
      </c>
      <c r="AC87" s="17">
        <v>0</v>
      </c>
      <c r="AD87" s="17">
        <v>0</v>
      </c>
      <c r="AE87" s="17">
        <v>0</v>
      </c>
      <c r="AF87" s="17">
        <v>0</v>
      </c>
      <c r="AG87" s="17">
        <v>706625</v>
      </c>
      <c r="AH87" s="17" t="s">
        <v>98</v>
      </c>
      <c r="AI87" s="17">
        <v>0</v>
      </c>
      <c r="AJ87" s="17">
        <v>0</v>
      </c>
      <c r="AK87" s="17" t="s">
        <v>123</v>
      </c>
      <c r="AL87" s="17" t="s">
        <v>124</v>
      </c>
      <c r="AM87" s="17" t="s"/>
      <c r="AN87" s="17">
        <v>0</v>
      </c>
      <c r="AO87" s="17">
        <v>0</v>
      </c>
      <c r="AP87" s="17">
        <v>0</v>
      </c>
      <c r="AQ87" s="17">
        <v>0</v>
      </c>
      <c r="AR87" s="17">
        <v>0</v>
      </c>
    </row>
    <row r="88">
      <c r="A88" s="17">
        <v>82</v>
      </c>
      <c r="B88" s="17" t="s">
        <v>282</v>
      </c>
      <c r="C88" s="17" t="s"/>
      <c r="D88" s="17" t="s">
        <v>283</v>
      </c>
      <c r="E88" s="17" t="s">
        <v>267</v>
      </c>
      <c r="F88" s="17" t="s">
        <v>132</v>
      </c>
      <c r="G88" s="17" t="s">
        <v>281</v>
      </c>
      <c r="H88" s="17">
        <v>2293000</v>
      </c>
      <c r="I88" s="17">
        <v>-1596000</v>
      </c>
      <c r="J88" s="17">
        <v>0</v>
      </c>
      <c r="K88" s="17">
        <v>0</v>
      </c>
      <c r="L88" s="17">
        <v>-40000</v>
      </c>
      <c r="M88" s="17">
        <v>0</v>
      </c>
      <c r="N88" s="17">
        <v>0</v>
      </c>
      <c r="O88" s="17">
        <v>0</v>
      </c>
      <c r="P88" s="17">
        <v>0</v>
      </c>
      <c r="Q88" s="17">
        <v>0</v>
      </c>
      <c r="R88" s="17">
        <v>39000</v>
      </c>
      <c r="S88" s="17">
        <v>-39000</v>
      </c>
      <c r="T88" s="17">
        <v>0</v>
      </c>
      <c r="U88" s="17">
        <v>0</v>
      </c>
      <c r="V88" s="17">
        <v>0</v>
      </c>
      <c r="W88" s="17">
        <v>0</v>
      </c>
      <c r="X88" s="17">
        <v>-27594</v>
      </c>
      <c r="Y88" s="17">
        <v>-54531</v>
      </c>
      <c r="Z88" s="17">
        <v>-1250</v>
      </c>
      <c r="AA88" s="17">
        <v>0</v>
      </c>
      <c r="AB88" s="17">
        <v>0</v>
      </c>
      <c r="AC88" s="17">
        <v>-13008</v>
      </c>
      <c r="AD88" s="17">
        <v>0</v>
      </c>
      <c r="AE88" s="17">
        <v>0</v>
      </c>
      <c r="AF88" s="17">
        <v>0</v>
      </c>
      <c r="AG88" s="17">
        <v>560617</v>
      </c>
      <c r="AH88" s="17" t="s">
        <v>93</v>
      </c>
      <c r="AI88" s="17">
        <v>0</v>
      </c>
      <c r="AJ88" s="17">
        <v>0</v>
      </c>
      <c r="AK88" s="17" t="s">
        <v>123</v>
      </c>
      <c r="AL88" s="17" t="s">
        <v>124</v>
      </c>
      <c r="AM88" s="17" t="s"/>
      <c r="AN88" s="17">
        <v>0</v>
      </c>
      <c r="AO88" s="17">
        <v>0</v>
      </c>
      <c r="AP88" s="17">
        <v>0</v>
      </c>
      <c r="AQ88" s="17">
        <v>0</v>
      </c>
      <c r="AR88" s="17">
        <v>0</v>
      </c>
    </row>
    <row r="89">
      <c r="A89" s="17">
        <v>83</v>
      </c>
      <c r="B89" s="17" t="s">
        <v>284</v>
      </c>
      <c r="C89" s="17" t="s"/>
      <c r="D89" s="17" t="s">
        <v>285</v>
      </c>
      <c r="E89" s="17" t="s">
        <v>163</v>
      </c>
      <c r="F89" s="17" t="s">
        <v>97</v>
      </c>
      <c r="G89" s="17" t="s">
        <v>281</v>
      </c>
      <c r="H89" s="17">
        <v>48000</v>
      </c>
      <c r="I89" s="17">
        <v>-24000</v>
      </c>
      <c r="J89" s="17">
        <v>0</v>
      </c>
      <c r="K89" s="17">
        <v>0</v>
      </c>
      <c r="L89" s="17">
        <v>0</v>
      </c>
      <c r="M89" s="17">
        <v>0</v>
      </c>
      <c r="N89" s="17">
        <v>0</v>
      </c>
      <c r="O89" s="17">
        <v>0</v>
      </c>
      <c r="P89" s="17">
        <v>0</v>
      </c>
      <c r="Q89" s="17">
        <v>0</v>
      </c>
      <c r="R89" s="17">
        <v>5000</v>
      </c>
      <c r="S89" s="17">
        <v>-5000</v>
      </c>
      <c r="T89" s="17">
        <v>0</v>
      </c>
      <c r="U89" s="17">
        <v>0</v>
      </c>
      <c r="V89" s="17">
        <v>0</v>
      </c>
      <c r="W89" s="17">
        <v>0</v>
      </c>
      <c r="X89" s="17">
        <v>-1008</v>
      </c>
      <c r="Y89" s="17">
        <v>-1512</v>
      </c>
      <c r="Z89" s="17">
        <v>-1250</v>
      </c>
      <c r="AA89" s="17">
        <v>0</v>
      </c>
      <c r="AB89" s="17">
        <v>0</v>
      </c>
      <c r="AC89" s="17">
        <v>0</v>
      </c>
      <c r="AD89" s="17">
        <v>0</v>
      </c>
      <c r="AE89" s="17">
        <v>0</v>
      </c>
      <c r="AF89" s="17">
        <v>0</v>
      </c>
      <c r="AG89" s="17">
        <v>20230</v>
      </c>
      <c r="AH89" s="17" t="s"/>
      <c r="AI89" s="17">
        <v>0</v>
      </c>
      <c r="AJ89" s="17">
        <v>0</v>
      </c>
      <c r="AK89" s="17" t="s">
        <v>79</v>
      </c>
      <c r="AL89" s="17" t="s">
        <v>80</v>
      </c>
      <c r="AM89" s="17" t="s"/>
      <c r="AN89" s="17">
        <v>0</v>
      </c>
      <c r="AO89" s="17">
        <v>0</v>
      </c>
      <c r="AP89" s="17">
        <v>0</v>
      </c>
      <c r="AQ89" s="17">
        <v>0</v>
      </c>
      <c r="AR89" s="17">
        <v>0</v>
      </c>
    </row>
    <row r="90">
      <c r="A90" s="17">
        <v>84</v>
      </c>
      <c r="B90" s="17" t="s">
        <v>286</v>
      </c>
      <c r="C90" s="17" t="s"/>
      <c r="D90" s="17" t="s">
        <v>287</v>
      </c>
      <c r="E90" s="17" t="s">
        <v>172</v>
      </c>
      <c r="F90" s="17" t="s">
        <v>65</v>
      </c>
      <c r="G90" s="17" t="s">
        <v>281</v>
      </c>
      <c r="H90" s="17">
        <v>48000</v>
      </c>
      <c r="I90" s="17">
        <v>-24000</v>
      </c>
      <c r="J90" s="17">
        <v>0</v>
      </c>
      <c r="K90" s="17">
        <v>0</v>
      </c>
      <c r="L90" s="17">
        <v>0</v>
      </c>
      <c r="M90" s="17">
        <v>0</v>
      </c>
      <c r="N90" s="17">
        <v>0</v>
      </c>
      <c r="O90" s="17">
        <v>0</v>
      </c>
      <c r="P90" s="17">
        <v>0</v>
      </c>
      <c r="Q90" s="17">
        <v>0</v>
      </c>
      <c r="R90" s="17">
        <v>3500</v>
      </c>
      <c r="S90" s="17">
        <v>-3500</v>
      </c>
      <c r="T90" s="17">
        <v>0</v>
      </c>
      <c r="U90" s="17">
        <v>0</v>
      </c>
      <c r="V90" s="17">
        <v>0</v>
      </c>
      <c r="W90" s="17">
        <v>0</v>
      </c>
      <c r="X90" s="17">
        <v>-1008</v>
      </c>
      <c r="Y90" s="17">
        <v>-1512</v>
      </c>
      <c r="Z90" s="17">
        <v>-1250</v>
      </c>
      <c r="AA90" s="17">
        <v>0</v>
      </c>
      <c r="AB90" s="17">
        <v>0</v>
      </c>
      <c r="AC90" s="17">
        <v>0</v>
      </c>
      <c r="AD90" s="17">
        <v>0</v>
      </c>
      <c r="AE90" s="17">
        <v>0</v>
      </c>
      <c r="AF90" s="17">
        <v>0</v>
      </c>
      <c r="AG90" s="17">
        <v>20230</v>
      </c>
      <c r="AH90" s="17" t="s"/>
      <c r="AI90" s="17">
        <v>0</v>
      </c>
      <c r="AJ90" s="17">
        <v>0</v>
      </c>
      <c r="AK90" s="17" t="s">
        <v>79</v>
      </c>
      <c r="AL90" s="17" t="s">
        <v>80</v>
      </c>
      <c r="AM90" s="17" t="s"/>
      <c r="AN90" s="17">
        <v>0</v>
      </c>
      <c r="AO90" s="17">
        <v>0</v>
      </c>
      <c r="AP90" s="17">
        <v>0</v>
      </c>
      <c r="AQ90" s="17">
        <v>0</v>
      </c>
      <c r="AR90" s="17">
        <v>0</v>
      </c>
    </row>
    <row r="91">
      <c r="A91" s="17">
        <v>85</v>
      </c>
      <c r="B91" s="17" t="s">
        <v>288</v>
      </c>
      <c r="C91" s="17" t="s"/>
      <c r="D91" s="17" t="s">
        <v>289</v>
      </c>
      <c r="E91" s="17" t="s">
        <v>237</v>
      </c>
      <c r="F91" s="17" t="s">
        <v>132</v>
      </c>
      <c r="G91" s="17" t="s">
        <v>281</v>
      </c>
      <c r="H91" s="17">
        <v>3339000</v>
      </c>
      <c r="I91" s="17">
        <v>-2190000</v>
      </c>
      <c r="J91" s="17">
        <v>0</v>
      </c>
      <c r="K91" s="17">
        <v>0</v>
      </c>
      <c r="L91" s="17">
        <v>-20000</v>
      </c>
      <c r="M91" s="17">
        <v>0</v>
      </c>
      <c r="N91" s="17">
        <v>0</v>
      </c>
      <c r="O91" s="17">
        <v>0</v>
      </c>
      <c r="P91" s="17">
        <v>0</v>
      </c>
      <c r="Q91" s="17">
        <v>0</v>
      </c>
      <c r="R91" s="17">
        <v>8500</v>
      </c>
      <c r="S91" s="17">
        <v>-8500</v>
      </c>
      <c r="T91" s="17">
        <v>0</v>
      </c>
      <c r="U91" s="17">
        <v>0</v>
      </c>
      <c r="V91" s="17">
        <v>0</v>
      </c>
      <c r="W91" s="17">
        <v>0</v>
      </c>
      <c r="X91" s="17">
        <v>-47418</v>
      </c>
      <c r="Y91" s="17">
        <v>-93707</v>
      </c>
      <c r="Z91" s="17">
        <v>-1250</v>
      </c>
      <c r="AA91" s="17">
        <v>0</v>
      </c>
      <c r="AB91" s="17">
        <v>0</v>
      </c>
      <c r="AC91" s="17">
        <v>0</v>
      </c>
      <c r="AD91" s="17">
        <v>0</v>
      </c>
      <c r="AE91" s="17">
        <v>0</v>
      </c>
      <c r="AF91" s="17">
        <v>0</v>
      </c>
      <c r="AG91" s="17">
        <v>986625</v>
      </c>
      <c r="AH91" s="17" t="s">
        <v>98</v>
      </c>
      <c r="AI91" s="17">
        <v>0</v>
      </c>
      <c r="AJ91" s="17">
        <v>0</v>
      </c>
      <c r="AK91" s="17" t="s">
        <v>66</v>
      </c>
      <c r="AL91" s="17" t="s">
        <v>173</v>
      </c>
      <c r="AM91" s="17" t="s"/>
      <c r="AN91" s="17">
        <v>0</v>
      </c>
      <c r="AO91" s="17">
        <v>0</v>
      </c>
      <c r="AP91" s="17">
        <v>0</v>
      </c>
      <c r="AQ91" s="17">
        <v>0</v>
      </c>
      <c r="AR91" s="17">
        <v>0</v>
      </c>
    </row>
    <row r="92">
      <c r="A92" s="17">
        <v>86</v>
      </c>
      <c r="B92" s="17" t="s">
        <v>290</v>
      </c>
      <c r="C92" s="17" t="s"/>
      <c r="D92" s="17" t="s">
        <v>291</v>
      </c>
      <c r="E92" s="17" t="s">
        <v>71</v>
      </c>
      <c r="F92" s="17" t="s">
        <v>65</v>
      </c>
      <c r="G92" s="17" t="s">
        <v>281</v>
      </c>
      <c r="H92" s="17">
        <v>48000</v>
      </c>
      <c r="I92" s="17">
        <v>-25000</v>
      </c>
      <c r="J92" s="17">
        <v>0</v>
      </c>
      <c r="K92" s="17">
        <v>0</v>
      </c>
      <c r="L92" s="17">
        <v>0</v>
      </c>
      <c r="M92" s="17">
        <v>0</v>
      </c>
      <c r="N92" s="17">
        <v>0</v>
      </c>
      <c r="O92" s="17">
        <v>0</v>
      </c>
      <c r="P92" s="17">
        <v>0</v>
      </c>
      <c r="Q92" s="17">
        <v>0</v>
      </c>
      <c r="R92" s="17">
        <v>11000</v>
      </c>
      <c r="S92" s="17">
        <v>-11000</v>
      </c>
      <c r="T92" s="17">
        <v>0</v>
      </c>
      <c r="U92" s="17">
        <v>0</v>
      </c>
      <c r="V92" s="17">
        <v>0</v>
      </c>
      <c r="W92" s="17">
        <v>0</v>
      </c>
      <c r="X92" s="17">
        <v>-966</v>
      </c>
      <c r="Y92" s="17">
        <v>-1449</v>
      </c>
      <c r="Z92" s="17">
        <v>-1250</v>
      </c>
      <c r="AA92" s="17">
        <v>0</v>
      </c>
      <c r="AB92" s="17">
        <v>0</v>
      </c>
      <c r="AC92" s="17">
        <v>0</v>
      </c>
      <c r="AD92" s="17">
        <v>0</v>
      </c>
      <c r="AE92" s="17">
        <v>0</v>
      </c>
      <c r="AF92" s="17">
        <v>0</v>
      </c>
      <c r="AG92" s="17">
        <v>19335</v>
      </c>
      <c r="AH92" s="17" t="s"/>
      <c r="AI92" s="17">
        <v>0</v>
      </c>
      <c r="AJ92" s="17">
        <v>0</v>
      </c>
      <c r="AK92" s="17" t="s">
        <v>79</v>
      </c>
      <c r="AL92" s="17" t="s">
        <v>72</v>
      </c>
      <c r="AM92" s="17" t="s"/>
      <c r="AN92" s="17">
        <v>0</v>
      </c>
      <c r="AO92" s="17">
        <v>0</v>
      </c>
      <c r="AP92" s="17">
        <v>0</v>
      </c>
      <c r="AQ92" s="17">
        <v>0</v>
      </c>
      <c r="AR92" s="17">
        <v>0</v>
      </c>
    </row>
    <row r="93">
      <c r="A93" s="17">
        <v>87</v>
      </c>
      <c r="B93" s="17" t="s">
        <v>292</v>
      </c>
      <c r="C93" s="17">
        <v>225206387293606</v>
      </c>
      <c r="D93" s="17" t="s">
        <v>293</v>
      </c>
      <c r="E93" s="17" t="s">
        <v>163</v>
      </c>
      <c r="F93" s="17" t="s">
        <v>91</v>
      </c>
      <c r="G93" s="17" t="s">
        <v>281</v>
      </c>
      <c r="H93" s="17">
        <v>183000</v>
      </c>
      <c r="I93" s="17">
        <v>-110000</v>
      </c>
      <c r="J93" s="17">
        <v>-73000</v>
      </c>
      <c r="K93" s="17">
        <v>0</v>
      </c>
      <c r="L93" s="17">
        <v>0</v>
      </c>
      <c r="M93" s="17">
        <v>0</v>
      </c>
      <c r="N93" s="17">
        <v>0</v>
      </c>
      <c r="O93" s="17">
        <v>0</v>
      </c>
      <c r="P93" s="17">
        <v>0</v>
      </c>
      <c r="Q93" s="17">
        <v>0</v>
      </c>
      <c r="R93" s="17">
        <v>0</v>
      </c>
      <c r="S93" s="17">
        <v>-6500</v>
      </c>
      <c r="T93" s="17">
        <v>-5100</v>
      </c>
      <c r="U93" s="17">
        <v>0</v>
      </c>
      <c r="V93" s="17">
        <v>0</v>
      </c>
      <c r="W93" s="17">
        <v>0</v>
      </c>
      <c r="X93" s="17">
        <v>0</v>
      </c>
      <c r="Y93" s="17">
        <v>0</v>
      </c>
      <c r="Z93" s="17">
        <v>0</v>
      </c>
      <c r="AA93" s="17">
        <v>0</v>
      </c>
      <c r="AB93" s="17">
        <v>0</v>
      </c>
      <c r="AC93" s="17">
        <v>0</v>
      </c>
      <c r="AD93" s="17">
        <v>0</v>
      </c>
      <c r="AE93" s="17">
        <v>0</v>
      </c>
      <c r="AF93" s="17">
        <v>0</v>
      </c>
      <c r="AG93" s="17">
        <v>-11600</v>
      </c>
      <c r="AH93" s="17" t="s"/>
      <c r="AI93" s="17">
        <v>0</v>
      </c>
      <c r="AJ93" s="17">
        <v>0</v>
      </c>
      <c r="AK93" s="17" t="s">
        <v>66</v>
      </c>
      <c r="AL93" s="17" t="s">
        <v>173</v>
      </c>
      <c r="AM93" s="17" t="s"/>
      <c r="AN93" s="17">
        <v>-73000</v>
      </c>
      <c r="AO93" s="17">
        <v>0</v>
      </c>
      <c r="AP93" s="17">
        <v>0</v>
      </c>
      <c r="AQ93" s="17">
        <v>0</v>
      </c>
      <c r="AR93" s="17">
        <v>0</v>
      </c>
    </row>
    <row r="94">
      <c r="A94" s="17">
        <v>88</v>
      </c>
      <c r="B94" s="17" t="s">
        <v>294</v>
      </c>
      <c r="C94" s="17" t="s"/>
      <c r="D94" s="17" t="s">
        <v>295</v>
      </c>
      <c r="E94" s="17" t="s">
        <v>206</v>
      </c>
      <c r="F94" s="17" t="s">
        <v>65</v>
      </c>
      <c r="G94" s="17" t="s">
        <v>296</v>
      </c>
      <c r="H94" s="17">
        <v>222000</v>
      </c>
      <c r="I94" s="17">
        <v>-135000</v>
      </c>
      <c r="J94" s="17">
        <v>0</v>
      </c>
      <c r="K94" s="17">
        <v>0</v>
      </c>
      <c r="L94" s="17">
        <v>0</v>
      </c>
      <c r="M94" s="17">
        <v>0</v>
      </c>
      <c r="N94" s="17">
        <v>0</v>
      </c>
      <c r="O94" s="17">
        <v>0</v>
      </c>
      <c r="P94" s="17">
        <v>0</v>
      </c>
      <c r="Q94" s="17">
        <v>0</v>
      </c>
      <c r="R94" s="17">
        <v>6500</v>
      </c>
      <c r="S94" s="17">
        <v>-6500</v>
      </c>
      <c r="T94" s="17">
        <v>0</v>
      </c>
      <c r="U94" s="17">
        <v>0</v>
      </c>
      <c r="V94" s="17">
        <v>0</v>
      </c>
      <c r="W94" s="17">
        <v>-2533</v>
      </c>
      <c r="X94" s="17">
        <v>-3654</v>
      </c>
      <c r="Y94" s="17">
        <v>-7221</v>
      </c>
      <c r="Z94" s="17">
        <v>-1250</v>
      </c>
      <c r="AA94" s="17">
        <v>0</v>
      </c>
      <c r="AB94" s="17">
        <v>0</v>
      </c>
      <c r="AC94" s="17">
        <v>0</v>
      </c>
      <c r="AD94" s="17">
        <v>0</v>
      </c>
      <c r="AE94" s="17">
        <v>0</v>
      </c>
      <c r="AF94" s="17">
        <v>0</v>
      </c>
      <c r="AG94" s="17">
        <v>72342</v>
      </c>
      <c r="AH94" s="17" t="s"/>
      <c r="AI94" s="17">
        <v>0</v>
      </c>
      <c r="AJ94" s="17">
        <v>0</v>
      </c>
      <c r="AK94" s="17" t="s">
        <v>66</v>
      </c>
      <c r="AL94" s="17" t="s">
        <v>67</v>
      </c>
      <c r="AM94" s="17" t="s"/>
      <c r="AN94" s="17">
        <v>0</v>
      </c>
      <c r="AO94" s="17">
        <v>0</v>
      </c>
      <c r="AP94" s="17">
        <v>0</v>
      </c>
      <c r="AQ94" s="17">
        <v>0</v>
      </c>
      <c r="AR94" s="17">
        <v>0</v>
      </c>
    </row>
    <row r="95">
      <c r="A95" s="17">
        <v>89</v>
      </c>
      <c r="B95" s="17" t="s">
        <v>297</v>
      </c>
      <c r="C95" s="17" t="s"/>
      <c r="D95" s="17" t="s">
        <v>298</v>
      </c>
      <c r="E95" s="17" t="s">
        <v>223</v>
      </c>
      <c r="F95" s="17" t="s">
        <v>132</v>
      </c>
      <c r="G95" s="17" t="s">
        <v>296</v>
      </c>
      <c r="H95" s="17">
        <v>1777000</v>
      </c>
      <c r="I95" s="17">
        <v>-188000</v>
      </c>
      <c r="J95" s="17">
        <v>0</v>
      </c>
      <c r="K95" s="17">
        <v>0</v>
      </c>
      <c r="L95" s="17">
        <v>-20000</v>
      </c>
      <c r="M95" s="17">
        <v>0</v>
      </c>
      <c r="N95" s="17">
        <v>0</v>
      </c>
      <c r="O95" s="17">
        <v>0</v>
      </c>
      <c r="P95" s="17">
        <v>0</v>
      </c>
      <c r="Q95" s="17">
        <v>0</v>
      </c>
      <c r="R95" s="17">
        <v>15000</v>
      </c>
      <c r="S95" s="17">
        <v>-15000</v>
      </c>
      <c r="T95" s="17">
        <v>0</v>
      </c>
      <c r="U95" s="17">
        <v>0</v>
      </c>
      <c r="V95" s="17">
        <v>0</v>
      </c>
      <c r="W95" s="17">
        <v>-48067</v>
      </c>
      <c r="X95" s="17">
        <v>-65898</v>
      </c>
      <c r="Y95" s="17">
        <v>-116586</v>
      </c>
      <c r="Z95" s="17">
        <v>-1250</v>
      </c>
      <c r="AA95" s="17">
        <v>0</v>
      </c>
      <c r="AB95" s="17">
        <v>0</v>
      </c>
      <c r="AC95" s="17">
        <v>-36087</v>
      </c>
      <c r="AD95" s="17">
        <v>0</v>
      </c>
      <c r="AE95" s="17">
        <v>0</v>
      </c>
      <c r="AF95" s="17">
        <v>0</v>
      </c>
      <c r="AG95" s="17">
        <v>1301112</v>
      </c>
      <c r="AH95" s="17" t="s">
        <v>98</v>
      </c>
      <c r="AI95" s="17">
        <v>0</v>
      </c>
      <c r="AJ95" s="17">
        <v>0</v>
      </c>
      <c r="AK95" s="17" t="s">
        <v>79</v>
      </c>
      <c r="AL95" s="17" t="s">
        <v>72</v>
      </c>
      <c r="AM95" s="17" t="s"/>
      <c r="AN95" s="17">
        <v>0</v>
      </c>
      <c r="AO95" s="17">
        <v>0</v>
      </c>
      <c r="AP95" s="17">
        <v>0</v>
      </c>
      <c r="AQ95" s="17">
        <v>0</v>
      </c>
      <c r="AR95" s="17">
        <v>0</v>
      </c>
    </row>
    <row r="96">
      <c r="A96" s="17">
        <v>90</v>
      </c>
      <c r="B96" s="17" t="s">
        <v>299</v>
      </c>
      <c r="C96" s="17" t="s"/>
      <c r="D96" s="17" t="s">
        <v>300</v>
      </c>
      <c r="E96" s="17" t="s">
        <v>251</v>
      </c>
      <c r="F96" s="17" t="s">
        <v>70</v>
      </c>
      <c r="G96" s="17" t="s">
        <v>296</v>
      </c>
      <c r="H96" s="17">
        <v>183000</v>
      </c>
      <c r="I96" s="17">
        <v>-110000</v>
      </c>
      <c r="J96" s="17">
        <v>0</v>
      </c>
      <c r="K96" s="17">
        <v>0</v>
      </c>
      <c r="L96" s="17">
        <v>0</v>
      </c>
      <c r="M96" s="17">
        <v>0</v>
      </c>
      <c r="N96" s="17">
        <v>0</v>
      </c>
      <c r="O96" s="17">
        <v>0</v>
      </c>
      <c r="P96" s="17">
        <v>0</v>
      </c>
      <c r="Q96" s="17">
        <v>0</v>
      </c>
      <c r="R96" s="17">
        <v>6500</v>
      </c>
      <c r="S96" s="17">
        <v>-6500</v>
      </c>
      <c r="T96" s="17">
        <v>0</v>
      </c>
      <c r="U96" s="17">
        <v>0</v>
      </c>
      <c r="V96" s="17">
        <v>0</v>
      </c>
      <c r="W96" s="17">
        <v>0</v>
      </c>
      <c r="X96" s="17">
        <v>-3066</v>
      </c>
      <c r="Y96" s="17">
        <v>-6059</v>
      </c>
      <c r="Z96" s="17">
        <v>-1250</v>
      </c>
      <c r="AA96" s="17">
        <v>0</v>
      </c>
      <c r="AB96" s="17">
        <v>0</v>
      </c>
      <c r="AC96" s="17">
        <v>0</v>
      </c>
      <c r="AD96" s="17">
        <v>0</v>
      </c>
      <c r="AE96" s="17">
        <v>0</v>
      </c>
      <c r="AF96" s="17">
        <v>0</v>
      </c>
      <c r="AG96" s="17">
        <v>62625</v>
      </c>
      <c r="AH96" s="17" t="s"/>
      <c r="AI96" s="17">
        <v>0</v>
      </c>
      <c r="AJ96" s="17">
        <v>0</v>
      </c>
      <c r="AK96" s="17" t="s">
        <v>66</v>
      </c>
      <c r="AL96" s="17" t="s">
        <v>67</v>
      </c>
      <c r="AM96" s="17" t="s"/>
      <c r="AN96" s="17">
        <v>0</v>
      </c>
      <c r="AO96" s="17">
        <v>0</v>
      </c>
      <c r="AP96" s="17">
        <v>0</v>
      </c>
      <c r="AQ96" s="17">
        <v>0</v>
      </c>
      <c r="AR96" s="17">
        <v>0</v>
      </c>
    </row>
    <row r="97">
      <c r="A97" s="17">
        <v>91</v>
      </c>
      <c r="B97" s="17" t="s">
        <v>301</v>
      </c>
      <c r="C97" s="17" t="s"/>
      <c r="D97" s="17" t="s">
        <v>302</v>
      </c>
      <c r="E97" s="17" t="s">
        <v>251</v>
      </c>
      <c r="F97" s="17" t="s">
        <v>132</v>
      </c>
      <c r="G97" s="17" t="s">
        <v>296</v>
      </c>
      <c r="H97" s="17">
        <v>2293000</v>
      </c>
      <c r="I97" s="17">
        <v>-1596000</v>
      </c>
      <c r="J97" s="17">
        <v>0</v>
      </c>
      <c r="K97" s="17">
        <v>0</v>
      </c>
      <c r="L97" s="17">
        <v>-40000</v>
      </c>
      <c r="M97" s="17">
        <v>0</v>
      </c>
      <c r="N97" s="17">
        <v>0</v>
      </c>
      <c r="O97" s="17">
        <v>0</v>
      </c>
      <c r="P97" s="17">
        <v>0</v>
      </c>
      <c r="Q97" s="17">
        <v>0</v>
      </c>
      <c r="R97" s="17">
        <v>8500</v>
      </c>
      <c r="S97" s="17">
        <v>-8500</v>
      </c>
      <c r="T97" s="17">
        <v>0</v>
      </c>
      <c r="U97" s="17">
        <v>0</v>
      </c>
      <c r="V97" s="17">
        <v>0</v>
      </c>
      <c r="W97" s="17">
        <v>0</v>
      </c>
      <c r="X97" s="17">
        <v>-27594</v>
      </c>
      <c r="Y97" s="17">
        <v>-54531</v>
      </c>
      <c r="Z97" s="17">
        <v>-1250</v>
      </c>
      <c r="AA97" s="17">
        <v>0</v>
      </c>
      <c r="AB97" s="17">
        <v>0</v>
      </c>
      <c r="AC97" s="17">
        <v>0</v>
      </c>
      <c r="AD97" s="17">
        <v>0</v>
      </c>
      <c r="AE97" s="17">
        <v>0</v>
      </c>
      <c r="AF97" s="17">
        <v>0</v>
      </c>
      <c r="AG97" s="17">
        <v>573625</v>
      </c>
      <c r="AH97" s="17" t="s">
        <v>93</v>
      </c>
      <c r="AI97" s="17">
        <v>0</v>
      </c>
      <c r="AJ97" s="17">
        <v>0</v>
      </c>
      <c r="AK97" s="17" t="s">
        <v>66</v>
      </c>
      <c r="AL97" s="17" t="s">
        <v>67</v>
      </c>
      <c r="AM97" s="17" t="s"/>
      <c r="AN97" s="17">
        <v>0</v>
      </c>
      <c r="AO97" s="17">
        <v>0</v>
      </c>
      <c r="AP97" s="17">
        <v>0</v>
      </c>
      <c r="AQ97" s="17">
        <v>0</v>
      </c>
      <c r="AR97" s="17">
        <v>0</v>
      </c>
    </row>
    <row r="98">
      <c r="A98" s="17">
        <v>92</v>
      </c>
      <c r="B98" s="17" t="s">
        <v>303</v>
      </c>
      <c r="C98" s="17" t="s"/>
      <c r="D98" s="17" t="s">
        <v>304</v>
      </c>
      <c r="E98" s="17" t="s">
        <v>188</v>
      </c>
      <c r="F98" s="17" t="s">
        <v>97</v>
      </c>
      <c r="G98" s="17" t="s">
        <v>296</v>
      </c>
      <c r="H98" s="17">
        <v>3339000</v>
      </c>
      <c r="I98" s="17">
        <v>-2190000</v>
      </c>
      <c r="J98" s="17">
        <v>0</v>
      </c>
      <c r="K98" s="17">
        <v>0</v>
      </c>
      <c r="L98" s="17">
        <v>-20000</v>
      </c>
      <c r="M98" s="17">
        <v>0</v>
      </c>
      <c r="N98" s="17">
        <v>0</v>
      </c>
      <c r="O98" s="17">
        <v>0</v>
      </c>
      <c r="P98" s="17">
        <v>1400</v>
      </c>
      <c r="Q98" s="17">
        <v>0</v>
      </c>
      <c r="R98" s="17">
        <v>60000</v>
      </c>
      <c r="S98" s="17">
        <v>-61400</v>
      </c>
      <c r="T98" s="17">
        <v>0</v>
      </c>
      <c r="U98" s="17">
        <v>0</v>
      </c>
      <c r="V98" s="17">
        <v>0</v>
      </c>
      <c r="W98" s="17">
        <v>0</v>
      </c>
      <c r="X98" s="17">
        <v>-47418</v>
      </c>
      <c r="Y98" s="17">
        <v>-93707</v>
      </c>
      <c r="Z98" s="17">
        <v>-1250</v>
      </c>
      <c r="AA98" s="17">
        <v>0</v>
      </c>
      <c r="AB98" s="17">
        <v>0</v>
      </c>
      <c r="AC98" s="17">
        <v>0</v>
      </c>
      <c r="AD98" s="17">
        <v>0</v>
      </c>
      <c r="AE98" s="17">
        <v>0</v>
      </c>
      <c r="AF98" s="17">
        <v>0</v>
      </c>
      <c r="AG98" s="17">
        <v>986625</v>
      </c>
      <c r="AH98" s="17" t="s">
        <v>98</v>
      </c>
      <c r="AI98" s="17">
        <v>0</v>
      </c>
      <c r="AJ98" s="17">
        <v>0</v>
      </c>
      <c r="AK98" s="17" t="s">
        <v>67</v>
      </c>
      <c r="AL98" s="17" t="s">
        <v>67</v>
      </c>
      <c r="AM98" s="17" t="s"/>
      <c r="AN98" s="17">
        <v>0</v>
      </c>
      <c r="AO98" s="17">
        <v>0</v>
      </c>
      <c r="AP98" s="17">
        <v>0</v>
      </c>
      <c r="AQ98" s="17">
        <v>0</v>
      </c>
      <c r="AR98" s="17">
        <v>0</v>
      </c>
    </row>
    <row r="99">
      <c r="A99" s="17">
        <v>93</v>
      </c>
      <c r="B99" s="17" t="s">
        <v>305</v>
      </c>
      <c r="C99" s="17" t="s"/>
      <c r="D99" s="17" t="s">
        <v>306</v>
      </c>
      <c r="E99" s="17" t="s">
        <v>281</v>
      </c>
      <c r="F99" s="17" t="s">
        <v>70</v>
      </c>
      <c r="G99" s="17" t="s">
        <v>296</v>
      </c>
      <c r="H99" s="17">
        <v>4471000</v>
      </c>
      <c r="I99" s="17">
        <v>-3172000</v>
      </c>
      <c r="J99" s="17">
        <v>0</v>
      </c>
      <c r="K99" s="17">
        <v>0</v>
      </c>
      <c r="L99" s="17">
        <v>0</v>
      </c>
      <c r="M99" s="17">
        <v>0</v>
      </c>
      <c r="N99" s="17">
        <v>0</v>
      </c>
      <c r="O99" s="17">
        <v>0</v>
      </c>
      <c r="P99" s="17">
        <v>0</v>
      </c>
      <c r="Q99" s="17">
        <v>0</v>
      </c>
      <c r="R99" s="17">
        <v>23000</v>
      </c>
      <c r="S99" s="17">
        <v>-23000</v>
      </c>
      <c r="T99" s="17">
        <v>0</v>
      </c>
      <c r="U99" s="17">
        <v>0</v>
      </c>
      <c r="V99" s="17">
        <v>0</v>
      </c>
      <c r="W99" s="17">
        <v>0</v>
      </c>
      <c r="X99" s="17">
        <v>-54558</v>
      </c>
      <c r="Y99" s="17">
        <v>-103382</v>
      </c>
      <c r="Z99" s="17">
        <v>-1250</v>
      </c>
      <c r="AA99" s="17">
        <v>0</v>
      </c>
      <c r="AB99" s="17">
        <v>0</v>
      </c>
      <c r="AC99" s="17">
        <v>0</v>
      </c>
      <c r="AD99" s="17">
        <v>0</v>
      </c>
      <c r="AE99" s="17">
        <v>0</v>
      </c>
      <c r="AF99" s="17">
        <v>0</v>
      </c>
      <c r="AG99" s="17">
        <v>1139810</v>
      </c>
      <c r="AH99" s="17" t="s"/>
      <c r="AI99" s="17">
        <v>0</v>
      </c>
      <c r="AJ99" s="17">
        <v>0</v>
      </c>
      <c r="AK99" s="17" t="s">
        <v>123</v>
      </c>
      <c r="AL99" s="17" t="s">
        <v>124</v>
      </c>
      <c r="AM99" s="17" t="s"/>
      <c r="AN99" s="17">
        <v>0</v>
      </c>
      <c r="AO99" s="17">
        <v>0</v>
      </c>
      <c r="AP99" s="17">
        <v>0</v>
      </c>
      <c r="AQ99" s="17">
        <v>0</v>
      </c>
      <c r="AR99" s="17">
        <v>0</v>
      </c>
    </row>
    <row r="100">
      <c r="A100" s="17">
        <v>94</v>
      </c>
      <c r="B100" s="17" t="s">
        <v>307</v>
      </c>
      <c r="C100" s="17" t="s"/>
      <c r="D100" s="17" t="s">
        <v>308</v>
      </c>
      <c r="E100" s="17" t="s">
        <v>172</v>
      </c>
      <c r="F100" s="17" t="s">
        <v>70</v>
      </c>
      <c r="G100" s="17" t="s">
        <v>296</v>
      </c>
      <c r="H100" s="17">
        <v>222000</v>
      </c>
      <c r="I100" s="17">
        <v>-135000</v>
      </c>
      <c r="J100" s="17">
        <v>0</v>
      </c>
      <c r="K100" s="17">
        <v>0</v>
      </c>
      <c r="L100" s="17">
        <v>0</v>
      </c>
      <c r="M100" s="17">
        <v>0</v>
      </c>
      <c r="N100" s="17">
        <v>0</v>
      </c>
      <c r="O100" s="17">
        <v>0</v>
      </c>
      <c r="P100" s="17">
        <v>0</v>
      </c>
      <c r="Q100" s="17">
        <v>0</v>
      </c>
      <c r="R100" s="17">
        <v>13000</v>
      </c>
      <c r="S100" s="17">
        <v>-13000</v>
      </c>
      <c r="T100" s="17">
        <v>0</v>
      </c>
      <c r="U100" s="17">
        <v>0</v>
      </c>
      <c r="V100" s="17">
        <v>0</v>
      </c>
      <c r="W100" s="17">
        <v>0</v>
      </c>
      <c r="X100" s="17">
        <v>-3654</v>
      </c>
      <c r="Y100" s="17">
        <v>-5481</v>
      </c>
      <c r="Z100" s="17">
        <v>-1250</v>
      </c>
      <c r="AA100" s="17">
        <v>0</v>
      </c>
      <c r="AB100" s="17">
        <v>0</v>
      </c>
      <c r="AC100" s="17">
        <v>0</v>
      </c>
      <c r="AD100" s="17">
        <v>0</v>
      </c>
      <c r="AE100" s="17">
        <v>0</v>
      </c>
      <c r="AF100" s="17">
        <v>0</v>
      </c>
      <c r="AG100" s="17">
        <v>76615</v>
      </c>
      <c r="AH100" s="17" t="s"/>
      <c r="AI100" s="17">
        <v>0</v>
      </c>
      <c r="AJ100" s="17">
        <v>0</v>
      </c>
      <c r="AK100" s="17" t="s">
        <v>79</v>
      </c>
      <c r="AL100" s="17" t="s">
        <v>72</v>
      </c>
      <c r="AM100" s="17" t="s"/>
      <c r="AN100" s="17">
        <v>0</v>
      </c>
      <c r="AO100" s="17">
        <v>0</v>
      </c>
      <c r="AP100" s="17">
        <v>0</v>
      </c>
      <c r="AQ100" s="17">
        <v>0</v>
      </c>
      <c r="AR100" s="17">
        <v>0</v>
      </c>
    </row>
    <row r="101">
      <c r="A101" s="17">
        <v>95</v>
      </c>
      <c r="B101" s="17" t="s">
        <v>309</v>
      </c>
      <c r="C101" s="17" t="s"/>
      <c r="D101" s="17" t="s">
        <v>310</v>
      </c>
      <c r="E101" s="17" t="s">
        <v>251</v>
      </c>
      <c r="F101" s="17" t="s">
        <v>97</v>
      </c>
      <c r="G101" s="17" t="s">
        <v>296</v>
      </c>
      <c r="H101" s="17">
        <v>842000</v>
      </c>
      <c r="I101" s="17">
        <v>-13000</v>
      </c>
      <c r="J101" s="17">
        <v>0</v>
      </c>
      <c r="K101" s="17">
        <v>0</v>
      </c>
      <c r="L101" s="17">
        <v>-20000</v>
      </c>
      <c r="M101" s="17">
        <v>0</v>
      </c>
      <c r="N101" s="17">
        <v>0</v>
      </c>
      <c r="O101" s="17">
        <v>0</v>
      </c>
      <c r="P101" s="17">
        <v>23000</v>
      </c>
      <c r="Q101" s="17">
        <v>0</v>
      </c>
      <c r="R101" s="17">
        <v>20000</v>
      </c>
      <c r="S101" s="17">
        <v>-43000</v>
      </c>
      <c r="T101" s="17">
        <v>0</v>
      </c>
      <c r="U101" s="17">
        <v>0</v>
      </c>
      <c r="V101" s="17">
        <v>0</v>
      </c>
      <c r="W101" s="17">
        <v>-23610</v>
      </c>
      <c r="X101" s="17">
        <v>-33978</v>
      </c>
      <c r="Y101" s="17">
        <v>-67147</v>
      </c>
      <c r="Z101" s="17">
        <v>-1250</v>
      </c>
      <c r="AA101" s="17">
        <v>0</v>
      </c>
      <c r="AB101" s="17">
        <v>0</v>
      </c>
      <c r="AC101" s="17">
        <v>0</v>
      </c>
      <c r="AD101" s="17">
        <v>0</v>
      </c>
      <c r="AE101" s="17">
        <v>0</v>
      </c>
      <c r="AF101" s="17">
        <v>0</v>
      </c>
      <c r="AG101" s="17">
        <v>683015</v>
      </c>
      <c r="AH101" s="17" t="s">
        <v>98</v>
      </c>
      <c r="AI101" s="17">
        <v>0</v>
      </c>
      <c r="AJ101" s="17">
        <v>0</v>
      </c>
      <c r="AK101" s="17" t="s">
        <v>148</v>
      </c>
      <c r="AL101" s="17" t="s">
        <v>149</v>
      </c>
      <c r="AM101" s="17" t="s"/>
      <c r="AN101" s="17">
        <v>0</v>
      </c>
      <c r="AO101" s="17">
        <v>0</v>
      </c>
      <c r="AP101" s="17">
        <v>0</v>
      </c>
      <c r="AQ101" s="17">
        <v>0</v>
      </c>
      <c r="AR101" s="17">
        <v>0</v>
      </c>
    </row>
    <row r="102">
      <c r="A102" s="17">
        <v>96</v>
      </c>
      <c r="B102" s="17" t="s">
        <v>311</v>
      </c>
      <c r="C102" s="17" t="s"/>
      <c r="D102" s="17" t="s">
        <v>312</v>
      </c>
      <c r="E102" s="17" t="s">
        <v>7</v>
      </c>
      <c r="F102" s="17" t="s">
        <v>70</v>
      </c>
      <c r="G102" s="17" t="s">
        <v>7</v>
      </c>
      <c r="H102" s="17">
        <v>2293000</v>
      </c>
      <c r="I102" s="17">
        <v>-1596000</v>
      </c>
      <c r="J102" s="17">
        <v>0</v>
      </c>
      <c r="K102" s="17">
        <v>0</v>
      </c>
      <c r="L102" s="17">
        <v>-40000</v>
      </c>
      <c r="M102" s="17">
        <v>0</v>
      </c>
      <c r="N102" s="17">
        <v>0</v>
      </c>
      <c r="O102" s="17">
        <v>0</v>
      </c>
      <c r="P102" s="17">
        <v>0</v>
      </c>
      <c r="Q102" s="17">
        <v>0</v>
      </c>
      <c r="R102" s="17">
        <v>39000</v>
      </c>
      <c r="S102" s="17">
        <v>-39000</v>
      </c>
      <c r="T102" s="17">
        <v>0</v>
      </c>
      <c r="U102" s="17">
        <v>0</v>
      </c>
      <c r="V102" s="17">
        <v>0</v>
      </c>
      <c r="W102" s="17">
        <v>0</v>
      </c>
      <c r="X102" s="17">
        <v>-27594</v>
      </c>
      <c r="Y102" s="17">
        <v>-54531</v>
      </c>
      <c r="Z102" s="17">
        <v>-1250</v>
      </c>
      <c r="AA102" s="17">
        <v>0</v>
      </c>
      <c r="AB102" s="17">
        <v>0</v>
      </c>
      <c r="AC102" s="17">
        <v>0</v>
      </c>
      <c r="AD102" s="17">
        <v>0</v>
      </c>
      <c r="AE102" s="17">
        <v>0</v>
      </c>
      <c r="AF102" s="17">
        <v>0</v>
      </c>
      <c r="AG102" s="17">
        <v>573625</v>
      </c>
      <c r="AH102" s="17" t="s">
        <v>93</v>
      </c>
      <c r="AI102" s="17">
        <v>0</v>
      </c>
      <c r="AJ102" s="17">
        <v>0</v>
      </c>
      <c r="AK102" s="17" t="s">
        <v>123</v>
      </c>
      <c r="AL102" s="17" t="s">
        <v>124</v>
      </c>
      <c r="AM102" s="17" t="s"/>
      <c r="AN102" s="17">
        <v>0</v>
      </c>
      <c r="AO102" s="17">
        <v>0</v>
      </c>
      <c r="AP102" s="17">
        <v>0</v>
      </c>
      <c r="AQ102" s="17">
        <v>0</v>
      </c>
      <c r="AR102" s="17">
        <v>0</v>
      </c>
    </row>
    <row r="103">
      <c r="A103" s="17">
        <v>97</v>
      </c>
      <c r="B103" s="17" t="s">
        <v>313</v>
      </c>
      <c r="C103" s="17" t="s"/>
      <c r="D103" s="17" t="s">
        <v>314</v>
      </c>
      <c r="E103" s="17" t="s">
        <v>211</v>
      </c>
      <c r="F103" s="17" t="s">
        <v>97</v>
      </c>
      <c r="G103" s="17" t="s">
        <v>7</v>
      </c>
      <c r="H103" s="17">
        <v>2293000</v>
      </c>
      <c r="I103" s="17">
        <v>-1595000</v>
      </c>
      <c r="J103" s="17">
        <v>0</v>
      </c>
      <c r="K103" s="17">
        <v>0</v>
      </c>
      <c r="L103" s="17">
        <v>-20000</v>
      </c>
      <c r="M103" s="17">
        <v>0</v>
      </c>
      <c r="N103" s="17">
        <v>0</v>
      </c>
      <c r="O103" s="17">
        <v>0</v>
      </c>
      <c r="P103" s="17">
        <v>0</v>
      </c>
      <c r="Q103" s="17">
        <v>0</v>
      </c>
      <c r="R103" s="17">
        <v>19000</v>
      </c>
      <c r="S103" s="17">
        <v>-19000</v>
      </c>
      <c r="T103" s="17">
        <v>0</v>
      </c>
      <c r="U103" s="17">
        <v>0</v>
      </c>
      <c r="V103" s="17">
        <v>0</v>
      </c>
      <c r="W103" s="17">
        <v>0</v>
      </c>
      <c r="X103" s="17">
        <v>-28476</v>
      </c>
      <c r="Y103" s="17">
        <v>-56274</v>
      </c>
      <c r="Z103" s="17">
        <v>-1250</v>
      </c>
      <c r="AA103" s="17">
        <v>0</v>
      </c>
      <c r="AB103" s="17">
        <v>0</v>
      </c>
      <c r="AC103" s="17">
        <v>0</v>
      </c>
      <c r="AD103" s="17">
        <v>0</v>
      </c>
      <c r="AE103" s="17">
        <v>0</v>
      </c>
      <c r="AF103" s="17">
        <v>0</v>
      </c>
      <c r="AG103" s="17">
        <v>592000</v>
      </c>
      <c r="AH103" s="17" t="s">
        <v>98</v>
      </c>
      <c r="AI103" s="17">
        <v>0</v>
      </c>
      <c r="AJ103" s="17">
        <v>0</v>
      </c>
      <c r="AK103" s="17" t="s">
        <v>123</v>
      </c>
      <c r="AL103" s="17" t="s">
        <v>124</v>
      </c>
      <c r="AM103" s="17" t="s"/>
      <c r="AN103" s="17">
        <v>0</v>
      </c>
      <c r="AO103" s="17">
        <v>0</v>
      </c>
      <c r="AP103" s="17">
        <v>0</v>
      </c>
      <c r="AQ103" s="17">
        <v>0</v>
      </c>
      <c r="AR103" s="17">
        <v>0</v>
      </c>
    </row>
    <row r="104">
      <c r="A104" s="17">
        <v>98</v>
      </c>
      <c r="B104" s="17" t="s">
        <v>315</v>
      </c>
      <c r="C104" s="17" t="s"/>
      <c r="D104" s="17" t="s">
        <v>316</v>
      </c>
      <c r="E104" s="17" t="s">
        <v>206</v>
      </c>
      <c r="F104" s="17" t="s">
        <v>65</v>
      </c>
      <c r="G104" s="17" t="s">
        <v>7</v>
      </c>
      <c r="H104" s="17">
        <v>222000</v>
      </c>
      <c r="I104" s="17">
        <v>-135000</v>
      </c>
      <c r="J104" s="17">
        <v>0</v>
      </c>
      <c r="K104" s="17">
        <v>0</v>
      </c>
      <c r="L104" s="17">
        <v>0</v>
      </c>
      <c r="M104" s="17">
        <v>0</v>
      </c>
      <c r="N104" s="17">
        <v>0</v>
      </c>
      <c r="O104" s="17">
        <v>0</v>
      </c>
      <c r="P104" s="17">
        <v>0</v>
      </c>
      <c r="Q104" s="17">
        <v>0</v>
      </c>
      <c r="R104" s="17">
        <v>6500</v>
      </c>
      <c r="S104" s="17">
        <v>-6500</v>
      </c>
      <c r="T104" s="17">
        <v>0</v>
      </c>
      <c r="U104" s="17">
        <v>0</v>
      </c>
      <c r="V104" s="17">
        <v>0</v>
      </c>
      <c r="W104" s="17">
        <v>0</v>
      </c>
      <c r="X104" s="17">
        <v>-3654</v>
      </c>
      <c r="Y104" s="17">
        <v>-7221</v>
      </c>
      <c r="Z104" s="17">
        <v>-1250</v>
      </c>
      <c r="AA104" s="17">
        <v>0</v>
      </c>
      <c r="AB104" s="17">
        <v>0</v>
      </c>
      <c r="AC104" s="17">
        <v>0</v>
      </c>
      <c r="AD104" s="17">
        <v>0</v>
      </c>
      <c r="AE104" s="17">
        <v>0</v>
      </c>
      <c r="AF104" s="17">
        <v>0</v>
      </c>
      <c r="AG104" s="17">
        <v>74875</v>
      </c>
      <c r="AH104" s="17" t="s"/>
      <c r="AI104" s="17">
        <v>0</v>
      </c>
      <c r="AJ104" s="17">
        <v>0</v>
      </c>
      <c r="AK104" s="17" t="s">
        <v>66</v>
      </c>
      <c r="AL104" s="17" t="s">
        <v>173</v>
      </c>
      <c r="AM104" s="17" t="s"/>
      <c r="AN104" s="17">
        <v>0</v>
      </c>
      <c r="AO104" s="17">
        <v>0</v>
      </c>
      <c r="AP104" s="17">
        <v>0</v>
      </c>
      <c r="AQ104" s="17">
        <v>0</v>
      </c>
      <c r="AR104" s="17">
        <v>0</v>
      </c>
    </row>
    <row r="105">
      <c r="A105" s="17">
        <v>99</v>
      </c>
      <c r="B105" s="17" t="s">
        <v>317</v>
      </c>
      <c r="C105" s="17" t="s"/>
      <c r="D105" s="17" t="s">
        <v>318</v>
      </c>
      <c r="E105" s="17" t="s">
        <v>206</v>
      </c>
      <c r="F105" s="17" t="s">
        <v>97</v>
      </c>
      <c r="G105" s="17" t="s">
        <v>7</v>
      </c>
      <c r="H105" s="17">
        <v>270000</v>
      </c>
      <c r="I105" s="17">
        <v>-164000</v>
      </c>
      <c r="J105" s="17">
        <v>0</v>
      </c>
      <c r="K105" s="17">
        <v>0</v>
      </c>
      <c r="L105" s="17">
        <v>0</v>
      </c>
      <c r="M105" s="17">
        <v>0</v>
      </c>
      <c r="N105" s="17">
        <v>0</v>
      </c>
      <c r="O105" s="17">
        <v>0</v>
      </c>
      <c r="P105" s="17">
        <v>0</v>
      </c>
      <c r="Q105" s="17">
        <v>0</v>
      </c>
      <c r="R105" s="17">
        <v>6500</v>
      </c>
      <c r="S105" s="17">
        <v>-6500</v>
      </c>
      <c r="T105" s="17">
        <v>0</v>
      </c>
      <c r="U105" s="17">
        <v>0</v>
      </c>
      <c r="V105" s="17">
        <v>0</v>
      </c>
      <c r="W105" s="17">
        <v>-3177</v>
      </c>
      <c r="X105" s="17">
        <v>-4452</v>
      </c>
      <c r="Y105" s="17">
        <v>-8798</v>
      </c>
      <c r="Z105" s="17">
        <v>-1250</v>
      </c>
      <c r="AA105" s="17">
        <v>0</v>
      </c>
      <c r="AB105" s="17">
        <v>0</v>
      </c>
      <c r="AC105" s="17">
        <v>0</v>
      </c>
      <c r="AD105" s="17">
        <v>0</v>
      </c>
      <c r="AE105" s="17">
        <v>0</v>
      </c>
      <c r="AF105" s="17">
        <v>0</v>
      </c>
      <c r="AG105" s="17">
        <v>88323</v>
      </c>
      <c r="AH105" s="17" t="s"/>
      <c r="AI105" s="17">
        <v>0</v>
      </c>
      <c r="AJ105" s="17">
        <v>0</v>
      </c>
      <c r="AK105" s="17" t="s">
        <v>66</v>
      </c>
      <c r="AL105" s="17" t="s">
        <v>67</v>
      </c>
      <c r="AM105" s="17" t="s"/>
      <c r="AN105" s="17">
        <v>0</v>
      </c>
      <c r="AO105" s="17">
        <v>0</v>
      </c>
      <c r="AP105" s="17">
        <v>0</v>
      </c>
      <c r="AQ105" s="17">
        <v>0</v>
      </c>
      <c r="AR105" s="17">
        <v>0</v>
      </c>
    </row>
    <row r="106">
      <c r="A106" s="17">
        <v>100</v>
      </c>
      <c r="B106" s="17" t="s">
        <v>319</v>
      </c>
      <c r="C106" s="17" t="s"/>
      <c r="D106" s="17" t="s">
        <v>320</v>
      </c>
      <c r="E106" s="17" t="s">
        <v>223</v>
      </c>
      <c r="F106" s="17" t="s">
        <v>65</v>
      </c>
      <c r="G106" s="17" t="s">
        <v>7</v>
      </c>
      <c r="H106" s="17">
        <v>698000</v>
      </c>
      <c r="I106" s="17">
        <v>0</v>
      </c>
      <c r="J106" s="17">
        <v>0</v>
      </c>
      <c r="K106" s="17">
        <v>0</v>
      </c>
      <c r="L106" s="17">
        <v>-20000</v>
      </c>
      <c r="M106" s="17">
        <v>0</v>
      </c>
      <c r="N106" s="17">
        <v>0</v>
      </c>
      <c r="O106" s="17">
        <v>0</v>
      </c>
      <c r="P106" s="17">
        <v>0</v>
      </c>
      <c r="Q106" s="17">
        <v>0</v>
      </c>
      <c r="R106" s="17">
        <v>17000</v>
      </c>
      <c r="S106" s="17">
        <v>-17000</v>
      </c>
      <c r="T106" s="17">
        <v>0</v>
      </c>
      <c r="U106" s="17">
        <v>0</v>
      </c>
      <c r="V106" s="17">
        <v>0</v>
      </c>
      <c r="W106" s="17">
        <v>-19247</v>
      </c>
      <c r="X106" s="17">
        <v>-28476</v>
      </c>
      <c r="Y106" s="17">
        <v>-56274</v>
      </c>
      <c r="Z106" s="17">
        <v>-1250</v>
      </c>
      <c r="AA106" s="17">
        <v>0</v>
      </c>
      <c r="AB106" s="17">
        <v>0</v>
      </c>
      <c r="AC106" s="17">
        <v>0</v>
      </c>
      <c r="AD106" s="17">
        <v>0</v>
      </c>
      <c r="AE106" s="17">
        <v>0</v>
      </c>
      <c r="AF106" s="17">
        <v>0</v>
      </c>
      <c r="AG106" s="17">
        <v>572753</v>
      </c>
      <c r="AH106" s="17" t="s">
        <v>98</v>
      </c>
      <c r="AI106" s="17">
        <v>0</v>
      </c>
      <c r="AJ106" s="17">
        <v>0</v>
      </c>
      <c r="AK106" s="17" t="s">
        <v>79</v>
      </c>
      <c r="AL106" s="17" t="s">
        <v>72</v>
      </c>
      <c r="AM106" s="17" t="s"/>
      <c r="AN106" s="17">
        <v>0</v>
      </c>
      <c r="AO106" s="17">
        <v>0</v>
      </c>
      <c r="AP106" s="17">
        <v>0</v>
      </c>
      <c r="AQ106" s="17">
        <v>0</v>
      </c>
      <c r="AR106" s="17">
        <v>0</v>
      </c>
    </row>
    <row r="107">
      <c r="A107" s="17">
        <v>101</v>
      </c>
      <c r="B107" s="17" t="s">
        <v>321</v>
      </c>
      <c r="C107" s="17" t="s"/>
      <c r="D107" s="17" t="s">
        <v>322</v>
      </c>
      <c r="E107" s="17" t="s">
        <v>296</v>
      </c>
      <c r="F107" s="17" t="s">
        <v>70</v>
      </c>
      <c r="G107" s="17" t="s">
        <v>7</v>
      </c>
      <c r="H107" s="17">
        <v>3339000</v>
      </c>
      <c r="I107" s="17">
        <v>-2190000</v>
      </c>
      <c r="J107" s="17">
        <v>0</v>
      </c>
      <c r="K107" s="17">
        <v>0</v>
      </c>
      <c r="L107" s="17">
        <v>-20000</v>
      </c>
      <c r="M107" s="17">
        <v>0</v>
      </c>
      <c r="N107" s="17">
        <v>0</v>
      </c>
      <c r="O107" s="17">
        <v>0</v>
      </c>
      <c r="P107" s="17">
        <v>0</v>
      </c>
      <c r="Q107" s="17">
        <v>0</v>
      </c>
      <c r="R107" s="17">
        <v>22000</v>
      </c>
      <c r="S107" s="17">
        <v>-22000</v>
      </c>
      <c r="T107" s="17">
        <v>0</v>
      </c>
      <c r="U107" s="17">
        <v>0</v>
      </c>
      <c r="V107" s="17">
        <v>0</v>
      </c>
      <c r="W107" s="17">
        <v>0</v>
      </c>
      <c r="X107" s="17">
        <v>-47418</v>
      </c>
      <c r="Y107" s="17">
        <v>-93707</v>
      </c>
      <c r="Z107" s="17">
        <v>-1250</v>
      </c>
      <c r="AA107" s="17">
        <v>0</v>
      </c>
      <c r="AB107" s="17">
        <v>0</v>
      </c>
      <c r="AC107" s="17">
        <v>0</v>
      </c>
      <c r="AD107" s="17">
        <v>0</v>
      </c>
      <c r="AE107" s="17">
        <v>0</v>
      </c>
      <c r="AF107" s="17">
        <v>0</v>
      </c>
      <c r="AG107" s="17">
        <v>986625</v>
      </c>
      <c r="AH107" s="17" t="s">
        <v>98</v>
      </c>
      <c r="AI107" s="17">
        <v>0</v>
      </c>
      <c r="AJ107" s="17">
        <v>0</v>
      </c>
      <c r="AK107" s="17" t="s">
        <v>123</v>
      </c>
      <c r="AL107" s="17" t="s">
        <v>124</v>
      </c>
      <c r="AM107" s="17" t="s"/>
      <c r="AN107" s="17">
        <v>0</v>
      </c>
      <c r="AO107" s="17">
        <v>0</v>
      </c>
      <c r="AP107" s="17">
        <v>0</v>
      </c>
      <c r="AQ107" s="17">
        <v>0</v>
      </c>
      <c r="AR107" s="17">
        <v>0</v>
      </c>
    </row>
    <row r="108">
      <c r="A108" s="17">
        <v>102</v>
      </c>
      <c r="B108" s="17" t="s">
        <v>323</v>
      </c>
      <c r="C108" s="17" t="s"/>
      <c r="D108" s="17" t="s">
        <v>324</v>
      </c>
      <c r="E108" s="17" t="s">
        <v>188</v>
      </c>
      <c r="F108" s="17" t="s">
        <v>65</v>
      </c>
      <c r="G108" s="17" t="s">
        <v>7</v>
      </c>
      <c r="H108" s="17">
        <v>222000</v>
      </c>
      <c r="I108" s="17">
        <v>-135000</v>
      </c>
      <c r="J108" s="17">
        <v>0</v>
      </c>
      <c r="K108" s="17">
        <v>0</v>
      </c>
      <c r="L108" s="17">
        <v>0</v>
      </c>
      <c r="M108" s="17">
        <v>0</v>
      </c>
      <c r="N108" s="17">
        <v>0</v>
      </c>
      <c r="O108" s="17">
        <v>0</v>
      </c>
      <c r="P108" s="17">
        <v>0</v>
      </c>
      <c r="Q108" s="17">
        <v>0</v>
      </c>
      <c r="R108" s="17">
        <v>12000</v>
      </c>
      <c r="S108" s="17">
        <v>-12000</v>
      </c>
      <c r="T108" s="17">
        <v>0</v>
      </c>
      <c r="U108" s="17">
        <v>0</v>
      </c>
      <c r="V108" s="17">
        <v>0</v>
      </c>
      <c r="W108" s="17">
        <v>0</v>
      </c>
      <c r="X108" s="17">
        <v>-3654</v>
      </c>
      <c r="Y108" s="17">
        <v>-7221</v>
      </c>
      <c r="Z108" s="17">
        <v>-1250</v>
      </c>
      <c r="AA108" s="17">
        <v>0</v>
      </c>
      <c r="AB108" s="17">
        <v>0</v>
      </c>
      <c r="AC108" s="17">
        <v>0</v>
      </c>
      <c r="AD108" s="17">
        <v>0</v>
      </c>
      <c r="AE108" s="17">
        <v>0</v>
      </c>
      <c r="AF108" s="17">
        <v>0</v>
      </c>
      <c r="AG108" s="17">
        <v>74875</v>
      </c>
      <c r="AH108" s="17" t="s"/>
      <c r="AI108" s="17">
        <v>0</v>
      </c>
      <c r="AJ108" s="17">
        <v>0</v>
      </c>
      <c r="AK108" s="17" t="s">
        <v>79</v>
      </c>
      <c r="AL108" s="17" t="s">
        <v>72</v>
      </c>
      <c r="AM108" s="17" t="s"/>
      <c r="AN108" s="17">
        <v>0</v>
      </c>
      <c r="AO108" s="17">
        <v>0</v>
      </c>
      <c r="AP108" s="17">
        <v>0</v>
      </c>
      <c r="AQ108" s="17">
        <v>0</v>
      </c>
      <c r="AR108"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F10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s>
  <sheetData>
    <row r="1">
      <c r="A1" s="13" t="s"/>
      <c r="B1" s="13" t="s"/>
      <c r="C1" s="18" t="s">
        <v>33</v>
      </c>
      <c r="D1" s="18" t="s"/>
      <c r="E1" s="18" t="s"/>
      <c r="F1" s="18" t="s"/>
    </row>
    <row r="2">
      <c r="A2" s="13" t="s">
        <v>44</v>
      </c>
      <c r="B2" s="13" t="s">
        <v>45</v>
      </c>
      <c r="C2" s="13" t="s">
        <v>325</v>
      </c>
      <c r="D2" s="13" t="s">
        <v>326</v>
      </c>
      <c r="E2" s="13" t="s">
        <v>327</v>
      </c>
      <c r="F2" s="13" t="s">
        <v>328</v>
      </c>
    </row>
    <row r="3">
      <c r="A3" s="13">
        <v>1</v>
      </c>
      <c r="B3" s="13" t="s">
        <v>62</v>
      </c>
      <c r="C3" s="13">
        <v>-1080</v>
      </c>
      <c r="D3" s="13">
        <v>0</v>
      </c>
      <c r="E3" s="13">
        <v>0</v>
      </c>
      <c r="F3" s="13">
        <v>0</v>
      </c>
    </row>
    <row r="4">
      <c r="A4" s="13">
        <v>2</v>
      </c>
      <c r="B4" s="13" t="s">
        <v>68</v>
      </c>
      <c r="C4" s="13">
        <v>-504</v>
      </c>
      <c r="D4" s="13">
        <v>0</v>
      </c>
      <c r="E4" s="13">
        <v>0</v>
      </c>
      <c r="F4" s="13">
        <v>0</v>
      </c>
    </row>
    <row r="5">
      <c r="A5" s="13">
        <v>3</v>
      </c>
      <c r="B5" s="13" t="s">
        <v>73</v>
      </c>
      <c r="C5" s="13">
        <v>-504</v>
      </c>
      <c r="D5" s="13">
        <v>0</v>
      </c>
      <c r="E5" s="13">
        <v>0</v>
      </c>
      <c r="F5" s="13">
        <v>0</v>
      </c>
    </row>
    <row r="6">
      <c r="A6" s="13">
        <v>4</v>
      </c>
      <c r="B6" s="13" t="s">
        <v>77</v>
      </c>
      <c r="C6" s="13">
        <v>-1080</v>
      </c>
      <c r="D6" s="13">
        <v>0</v>
      </c>
      <c r="E6" s="13">
        <v>0</v>
      </c>
      <c r="F6" s="13">
        <v>0</v>
      </c>
    </row>
    <row r="7">
      <c r="A7" s="13">
        <v>5</v>
      </c>
      <c r="B7" s="13" t="s">
        <v>81</v>
      </c>
      <c r="C7" s="13">
        <v>-504</v>
      </c>
      <c r="D7" s="13">
        <v>0</v>
      </c>
      <c r="E7" s="13">
        <v>0</v>
      </c>
      <c r="F7" s="13">
        <v>0</v>
      </c>
    </row>
    <row r="8">
      <c r="A8" s="13">
        <v>6</v>
      </c>
      <c r="B8" s="13" t="s">
        <v>85</v>
      </c>
      <c r="C8" s="13">
        <v>-101</v>
      </c>
      <c r="D8" s="13">
        <v>0</v>
      </c>
      <c r="E8" s="13">
        <v>0</v>
      </c>
      <c r="F8" s="13">
        <v>0</v>
      </c>
    </row>
    <row r="9">
      <c r="A9" s="13">
        <v>7</v>
      </c>
      <c r="B9" s="13" t="s">
        <v>89</v>
      </c>
      <c r="C9" s="13">
        <v>-29610</v>
      </c>
      <c r="D9" s="13">
        <v>0</v>
      </c>
      <c r="E9" s="13">
        <v>0</v>
      </c>
      <c r="F9" s="13">
        <v>-11844</v>
      </c>
    </row>
    <row r="10">
      <c r="A10" s="13">
        <v>8</v>
      </c>
      <c r="B10" s="13" t="s">
        <v>95</v>
      </c>
      <c r="C10" s="13">
        <v>-60000</v>
      </c>
      <c r="D10" s="13">
        <v>0</v>
      </c>
      <c r="E10" s="13">
        <v>0</v>
      </c>
      <c r="F10" s="13">
        <v>-25902</v>
      </c>
    </row>
    <row r="11">
      <c r="A11" s="13">
        <v>9</v>
      </c>
      <c r="B11" s="13" t="s">
        <v>99</v>
      </c>
      <c r="C11" s="13">
        <v>-504</v>
      </c>
      <c r="D11" s="13">
        <v>0</v>
      </c>
      <c r="E11" s="13">
        <v>0</v>
      </c>
      <c r="F11" s="13">
        <v>0</v>
      </c>
    </row>
    <row r="12">
      <c r="A12" s="13">
        <v>10</v>
      </c>
      <c r="B12" s="13" t="s">
        <v>103</v>
      </c>
      <c r="C12" s="13">
        <v>-48195</v>
      </c>
      <c r="D12" s="13">
        <v>0</v>
      </c>
      <c r="E12" s="13">
        <v>0</v>
      </c>
      <c r="F12" s="13">
        <v>0</v>
      </c>
    </row>
    <row r="13">
      <c r="A13" s="13">
        <v>11</v>
      </c>
      <c r="B13" s="13" t="s">
        <v>107</v>
      </c>
      <c r="C13" s="13">
        <v>-60000</v>
      </c>
      <c r="D13" s="13">
        <v>0</v>
      </c>
      <c r="E13" s="13">
        <v>0</v>
      </c>
      <c r="F13" s="13">
        <v>-25902</v>
      </c>
    </row>
    <row r="14">
      <c r="A14" s="13">
        <v>12</v>
      </c>
      <c r="B14" s="13" t="s">
        <v>109</v>
      </c>
      <c r="C14" s="13">
        <v>-29610</v>
      </c>
      <c r="D14" s="13">
        <v>0</v>
      </c>
      <c r="E14" s="13">
        <v>0</v>
      </c>
      <c r="F14" s="13">
        <v>-11844</v>
      </c>
    </row>
    <row r="15">
      <c r="A15" s="13">
        <v>13</v>
      </c>
      <c r="B15" s="13" t="s">
        <v>111</v>
      </c>
      <c r="C15" s="13">
        <v>-29610</v>
      </c>
      <c r="D15" s="13">
        <v>0</v>
      </c>
      <c r="E15" s="13">
        <v>0</v>
      </c>
      <c r="F15" s="13">
        <v>0</v>
      </c>
    </row>
    <row r="16">
      <c r="A16" s="13">
        <v>14</v>
      </c>
      <c r="B16" s="13" t="s">
        <v>114</v>
      </c>
      <c r="C16" s="13">
        <v>-504</v>
      </c>
      <c r="D16" s="13">
        <v>0</v>
      </c>
      <c r="E16" s="13">
        <v>0</v>
      </c>
      <c r="F16" s="13">
        <v>-202</v>
      </c>
    </row>
    <row r="17">
      <c r="A17" s="13">
        <v>15</v>
      </c>
      <c r="B17" s="13" t="s">
        <v>117</v>
      </c>
      <c r="C17" s="13">
        <v>-504</v>
      </c>
      <c r="D17" s="13">
        <v>0</v>
      </c>
      <c r="E17" s="13">
        <v>0</v>
      </c>
      <c r="F17" s="13">
        <v>-202</v>
      </c>
    </row>
    <row r="18">
      <c r="A18" s="13">
        <v>16</v>
      </c>
      <c r="B18" s="13" t="s">
        <v>120</v>
      </c>
      <c r="C18" s="13">
        <v>-29610</v>
      </c>
      <c r="D18" s="13">
        <v>0</v>
      </c>
      <c r="E18" s="13">
        <v>0</v>
      </c>
      <c r="F18" s="13">
        <v>-11844</v>
      </c>
    </row>
    <row r="19">
      <c r="A19" s="13">
        <v>17</v>
      </c>
      <c r="B19" s="13" t="s">
        <v>125</v>
      </c>
      <c r="C19" s="13">
        <v>-504</v>
      </c>
      <c r="D19" s="13">
        <v>0</v>
      </c>
      <c r="E19" s="13">
        <v>0</v>
      </c>
      <c r="F19" s="13">
        <v>-202</v>
      </c>
    </row>
    <row r="20">
      <c r="A20" s="13">
        <v>18</v>
      </c>
      <c r="B20" s="13" t="s">
        <v>127</v>
      </c>
      <c r="C20" s="13">
        <v>-1035</v>
      </c>
      <c r="D20" s="13">
        <v>0</v>
      </c>
      <c r="E20" s="13">
        <v>0</v>
      </c>
      <c r="F20" s="13">
        <v>-414</v>
      </c>
    </row>
    <row r="21">
      <c r="A21" s="13">
        <v>19</v>
      </c>
      <c r="B21" s="13" t="s">
        <v>130</v>
      </c>
      <c r="C21" s="13">
        <v>0</v>
      </c>
      <c r="D21" s="13">
        <v>-36630</v>
      </c>
      <c r="E21" s="13">
        <v>0</v>
      </c>
      <c r="F21" s="13">
        <v>-14652</v>
      </c>
    </row>
    <row r="22">
      <c r="A22" s="13">
        <v>20</v>
      </c>
      <c r="B22" s="13" t="s">
        <v>134</v>
      </c>
      <c r="C22" s="13">
        <v>-29565</v>
      </c>
      <c r="D22" s="13">
        <v>0</v>
      </c>
      <c r="E22" s="13">
        <v>0</v>
      </c>
      <c r="F22" s="13">
        <v>-11826</v>
      </c>
    </row>
    <row r="23">
      <c r="A23" s="13">
        <v>21</v>
      </c>
      <c r="B23" s="13" t="s">
        <v>136</v>
      </c>
      <c r="C23" s="13">
        <v>-504</v>
      </c>
      <c r="D23" s="13">
        <v>0</v>
      </c>
      <c r="E23" s="13">
        <v>0</v>
      </c>
      <c r="F23" s="13">
        <v>-202</v>
      </c>
    </row>
    <row r="24">
      <c r="A24" s="13">
        <v>22</v>
      </c>
      <c r="B24" s="13" t="s">
        <v>138</v>
      </c>
      <c r="C24" s="13">
        <v>-29610</v>
      </c>
      <c r="D24" s="13">
        <v>0</v>
      </c>
      <c r="E24" s="13">
        <v>-13160</v>
      </c>
      <c r="F24" s="13">
        <v>0</v>
      </c>
    </row>
    <row r="25">
      <c r="A25" s="13">
        <v>23</v>
      </c>
      <c r="B25" s="13" t="s">
        <v>140</v>
      </c>
      <c r="C25" s="13">
        <v>0</v>
      </c>
      <c r="D25" s="13">
        <v>-29610</v>
      </c>
      <c r="E25" s="13">
        <v>0</v>
      </c>
      <c r="F25" s="13">
        <v>-11844</v>
      </c>
    </row>
    <row r="26">
      <c r="A26" s="13">
        <v>24</v>
      </c>
      <c r="B26" s="13" t="s">
        <v>143</v>
      </c>
      <c r="C26" s="13">
        <v>-50805</v>
      </c>
      <c r="D26" s="13">
        <v>0</v>
      </c>
      <c r="E26" s="13">
        <v>0</v>
      </c>
      <c r="F26" s="13">
        <v>-20322</v>
      </c>
    </row>
    <row r="27">
      <c r="A27" s="13">
        <v>25</v>
      </c>
      <c r="B27" s="13" t="s">
        <v>145</v>
      </c>
      <c r="C27" s="13">
        <v>-29610</v>
      </c>
      <c r="D27" s="13">
        <v>0</v>
      </c>
      <c r="E27" s="13">
        <v>0</v>
      </c>
      <c r="F27" s="13">
        <v>-11844</v>
      </c>
    </row>
    <row r="28">
      <c r="A28" s="13">
        <v>26</v>
      </c>
      <c r="B28" s="13" t="s">
        <v>150</v>
      </c>
      <c r="C28" s="13">
        <v>-1035</v>
      </c>
      <c r="D28" s="13">
        <v>0</v>
      </c>
      <c r="E28" s="13">
        <v>0</v>
      </c>
      <c r="F28" s="13">
        <v>-414</v>
      </c>
    </row>
    <row r="29">
      <c r="A29" s="13">
        <v>27</v>
      </c>
      <c r="B29" s="13" t="s">
        <v>152</v>
      </c>
      <c r="C29" s="13">
        <v>-1620</v>
      </c>
      <c r="D29" s="13">
        <v>0</v>
      </c>
      <c r="E29" s="13">
        <v>0</v>
      </c>
      <c r="F29" s="13">
        <v>-648</v>
      </c>
    </row>
    <row r="30">
      <c r="A30" s="13">
        <v>28</v>
      </c>
      <c r="B30" s="13" t="s">
        <v>155</v>
      </c>
      <c r="C30" s="13">
        <v>-29565</v>
      </c>
      <c r="D30" s="13">
        <v>0</v>
      </c>
      <c r="E30" s="13">
        <v>0</v>
      </c>
      <c r="F30" s="13">
        <v>-11826</v>
      </c>
    </row>
    <row r="31">
      <c r="A31" s="13">
        <v>29</v>
      </c>
      <c r="B31" s="13" t="s">
        <v>157</v>
      </c>
      <c r="C31" s="13">
        <v>0</v>
      </c>
      <c r="D31" s="13">
        <v>-1080</v>
      </c>
      <c r="E31" s="13">
        <v>0</v>
      </c>
      <c r="F31" s="13">
        <v>-432</v>
      </c>
    </row>
    <row r="32">
      <c r="A32" s="13">
        <v>30</v>
      </c>
      <c r="B32" s="13" t="s">
        <v>159</v>
      </c>
      <c r="C32" s="13">
        <v>-30600</v>
      </c>
      <c r="D32" s="13">
        <v>0</v>
      </c>
      <c r="E32" s="13">
        <v>0</v>
      </c>
      <c r="F32" s="13">
        <v>-12240</v>
      </c>
    </row>
    <row r="33">
      <c r="A33" s="13">
        <v>31</v>
      </c>
      <c r="B33" s="13" t="s">
        <v>161</v>
      </c>
      <c r="C33" s="13">
        <v>0</v>
      </c>
      <c r="D33" s="13">
        <v>-51030</v>
      </c>
      <c r="E33" s="13">
        <v>0</v>
      </c>
      <c r="F33" s="13">
        <v>-20412</v>
      </c>
    </row>
    <row r="34">
      <c r="A34" s="13">
        <v>32</v>
      </c>
      <c r="B34" s="13" t="s">
        <v>164</v>
      </c>
      <c r="C34" s="13">
        <v>0</v>
      </c>
      <c r="D34" s="13">
        <v>-1080</v>
      </c>
      <c r="E34" s="13">
        <v>0</v>
      </c>
      <c r="F34" s="13">
        <v>-432</v>
      </c>
    </row>
    <row r="35">
      <c r="A35" s="13">
        <v>33</v>
      </c>
      <c r="B35" s="13" t="s">
        <v>166</v>
      </c>
      <c r="C35" s="13">
        <v>0</v>
      </c>
      <c r="D35" s="13">
        <v>-3915</v>
      </c>
      <c r="E35" s="13">
        <v>0</v>
      </c>
      <c r="F35" s="13">
        <v>-1566</v>
      </c>
    </row>
    <row r="36">
      <c r="A36" s="13">
        <v>34</v>
      </c>
      <c r="B36" s="13" t="s">
        <v>169</v>
      </c>
      <c r="C36" s="13">
        <v>0</v>
      </c>
      <c r="D36" s="13">
        <v>-3915</v>
      </c>
      <c r="E36" s="13">
        <v>0</v>
      </c>
      <c r="F36" s="13">
        <v>-1566</v>
      </c>
    </row>
    <row r="37">
      <c r="A37" s="13">
        <v>35</v>
      </c>
      <c r="B37" s="13" t="s">
        <v>170</v>
      </c>
      <c r="C37" s="13">
        <v>-60000</v>
      </c>
      <c r="D37" s="13">
        <v>0</v>
      </c>
      <c r="E37" s="13">
        <v>0</v>
      </c>
      <c r="F37" s="13">
        <v>-50000</v>
      </c>
    </row>
    <row r="38">
      <c r="A38" s="13">
        <v>36</v>
      </c>
      <c r="B38" s="13" t="s">
        <v>174</v>
      </c>
      <c r="C38" s="13">
        <v>0</v>
      </c>
      <c r="D38" s="13">
        <v>-3915</v>
      </c>
      <c r="E38" s="13">
        <v>0</v>
      </c>
      <c r="F38" s="13">
        <v>-1566</v>
      </c>
    </row>
    <row r="39">
      <c r="A39" s="13">
        <v>37</v>
      </c>
      <c r="B39" s="13" t="s">
        <v>176</v>
      </c>
      <c r="C39" s="13">
        <v>-30690</v>
      </c>
      <c r="D39" s="13">
        <v>0</v>
      </c>
      <c r="E39" s="13">
        <v>0</v>
      </c>
      <c r="F39" s="13">
        <v>-12276</v>
      </c>
    </row>
    <row r="40">
      <c r="A40" s="13">
        <v>38</v>
      </c>
      <c r="B40" s="13" t="s">
        <v>179</v>
      </c>
      <c r="C40" s="13">
        <v>0</v>
      </c>
      <c r="D40" s="13">
        <v>-60000</v>
      </c>
      <c r="E40" s="13">
        <v>0</v>
      </c>
      <c r="F40" s="13">
        <v>-25902</v>
      </c>
    </row>
    <row r="41">
      <c r="A41" s="13">
        <v>39</v>
      </c>
      <c r="B41" s="13" t="s">
        <v>182</v>
      </c>
      <c r="C41" s="13">
        <v>0</v>
      </c>
      <c r="D41" s="13">
        <v>-29610</v>
      </c>
      <c r="E41" s="13">
        <v>0</v>
      </c>
      <c r="F41" s="13">
        <v>-11844</v>
      </c>
    </row>
    <row r="42">
      <c r="A42" s="13">
        <v>40</v>
      </c>
      <c r="B42" s="13" t="s">
        <v>184</v>
      </c>
      <c r="C42" s="13">
        <v>-1080</v>
      </c>
      <c r="D42" s="13">
        <v>0</v>
      </c>
      <c r="E42" s="13">
        <v>0</v>
      </c>
      <c r="F42" s="13">
        <v>-432</v>
      </c>
    </row>
    <row r="43">
      <c r="A43" s="13">
        <v>41</v>
      </c>
      <c r="B43" s="13" t="s">
        <v>186</v>
      </c>
      <c r="C43" s="13">
        <v>0</v>
      </c>
      <c r="D43" s="13">
        <v>-3915</v>
      </c>
      <c r="E43" s="13">
        <v>0</v>
      </c>
      <c r="F43" s="13">
        <v>-1566</v>
      </c>
    </row>
    <row r="44">
      <c r="A44" s="13">
        <v>42</v>
      </c>
      <c r="B44" s="13" t="s">
        <v>189</v>
      </c>
      <c r="C44" s="13">
        <v>0</v>
      </c>
      <c r="D44" s="13">
        <v>-29565</v>
      </c>
      <c r="E44" s="13">
        <v>0</v>
      </c>
      <c r="F44" s="13">
        <v>-11826</v>
      </c>
    </row>
    <row r="45">
      <c r="A45" s="13">
        <v>43</v>
      </c>
      <c r="B45" s="13" t="s">
        <v>191</v>
      </c>
      <c r="C45" s="13">
        <v>0</v>
      </c>
      <c r="D45" s="13">
        <v>-37989</v>
      </c>
      <c r="E45" s="13">
        <v>0</v>
      </c>
      <c r="F45" s="13">
        <v>-15196</v>
      </c>
    </row>
    <row r="46">
      <c r="A46" s="13">
        <v>44</v>
      </c>
      <c r="B46" s="13" t="s">
        <v>193</v>
      </c>
      <c r="C46" s="13">
        <v>-1620</v>
      </c>
      <c r="D46" s="13">
        <v>0</v>
      </c>
      <c r="E46" s="13">
        <v>0</v>
      </c>
      <c r="F46" s="13">
        <v>-648</v>
      </c>
    </row>
    <row r="47">
      <c r="A47" s="13">
        <v>45</v>
      </c>
      <c r="B47" s="13" t="s">
        <v>195</v>
      </c>
      <c r="C47" s="13">
        <v>0</v>
      </c>
      <c r="D47" s="13">
        <v>-3915</v>
      </c>
      <c r="E47" s="13">
        <v>0</v>
      </c>
      <c r="F47" s="13">
        <v>-1566</v>
      </c>
    </row>
    <row r="48">
      <c r="A48" s="13">
        <v>46</v>
      </c>
      <c r="B48" s="13" t="s">
        <v>197</v>
      </c>
      <c r="C48" s="13">
        <v>-29565</v>
      </c>
      <c r="D48" s="13">
        <v>0</v>
      </c>
      <c r="E48" s="13">
        <v>0</v>
      </c>
      <c r="F48" s="13">
        <v>-11826</v>
      </c>
    </row>
    <row r="49">
      <c r="A49" s="13">
        <v>47</v>
      </c>
      <c r="B49" s="13" t="s">
        <v>199</v>
      </c>
      <c r="C49" s="13">
        <v>0</v>
      </c>
      <c r="D49" s="13">
        <v>-1080</v>
      </c>
      <c r="E49" s="13">
        <v>0</v>
      </c>
      <c r="F49" s="13">
        <v>-432</v>
      </c>
    </row>
    <row r="50">
      <c r="A50" s="13">
        <v>48</v>
      </c>
      <c r="B50" s="13" t="s">
        <v>204</v>
      </c>
      <c r="C50" s="13">
        <v>0</v>
      </c>
      <c r="D50" s="13">
        <v>-42770</v>
      </c>
      <c r="E50" s="13">
        <v>0</v>
      </c>
      <c r="F50" s="13">
        <v>-11844</v>
      </c>
    </row>
    <row r="51">
      <c r="A51" s="13">
        <v>49</v>
      </c>
      <c r="B51" s="13" t="s">
        <v>207</v>
      </c>
      <c r="C51" s="13">
        <v>0</v>
      </c>
      <c r="D51" s="13">
        <v>-29565</v>
      </c>
      <c r="E51" s="13">
        <v>0</v>
      </c>
      <c r="F51" s="13">
        <v>-11826</v>
      </c>
    </row>
    <row r="52">
      <c r="A52" s="13">
        <v>50</v>
      </c>
      <c r="B52" s="13" t="s">
        <v>209</v>
      </c>
      <c r="C52" s="13">
        <v>0</v>
      </c>
      <c r="D52" s="13">
        <v>-42770</v>
      </c>
      <c r="E52" s="13">
        <v>0</v>
      </c>
      <c r="F52" s="13">
        <v>-11844</v>
      </c>
    </row>
    <row r="53">
      <c r="A53" s="13">
        <v>51</v>
      </c>
      <c r="B53" s="13" t="s">
        <v>212</v>
      </c>
      <c r="C53" s="13">
        <v>-29610</v>
      </c>
      <c r="D53" s="13">
        <v>0</v>
      </c>
      <c r="E53" s="13">
        <v>0</v>
      </c>
      <c r="F53" s="13">
        <v>-11844</v>
      </c>
    </row>
    <row r="54">
      <c r="A54" s="13">
        <v>52</v>
      </c>
      <c r="B54" s="13" t="s">
        <v>214</v>
      </c>
      <c r="C54" s="13">
        <v>0</v>
      </c>
      <c r="D54" s="13">
        <v>-1080</v>
      </c>
      <c r="E54" s="13">
        <v>0</v>
      </c>
      <c r="F54" s="13">
        <v>-432</v>
      </c>
    </row>
    <row r="55">
      <c r="A55" s="13">
        <v>53</v>
      </c>
      <c r="B55" s="13" t="s">
        <v>216</v>
      </c>
      <c r="C55" s="13">
        <v>0</v>
      </c>
      <c r="D55" s="13">
        <v>-36405</v>
      </c>
      <c r="E55" s="13">
        <v>0</v>
      </c>
      <c r="F55" s="13">
        <v>-14562</v>
      </c>
    </row>
    <row r="56">
      <c r="A56" s="13">
        <v>54</v>
      </c>
      <c r="B56" s="13" t="s">
        <v>218</v>
      </c>
      <c r="C56" s="13">
        <v>0</v>
      </c>
      <c r="D56" s="13">
        <v>-30690</v>
      </c>
      <c r="E56" s="13">
        <v>0</v>
      </c>
      <c r="F56" s="13">
        <v>-12276</v>
      </c>
    </row>
    <row r="57">
      <c r="A57" s="13">
        <v>55</v>
      </c>
      <c r="B57" s="13" t="s">
        <v>221</v>
      </c>
      <c r="C57" s="13">
        <v>0</v>
      </c>
      <c r="D57" s="13">
        <v>-52910</v>
      </c>
      <c r="E57" s="13">
        <v>0</v>
      </c>
      <c r="F57" s="13">
        <v>-14652</v>
      </c>
    </row>
    <row r="58">
      <c r="A58" s="13">
        <v>56</v>
      </c>
      <c r="B58" s="13" t="s">
        <v>225</v>
      </c>
      <c r="C58" s="13">
        <v>0</v>
      </c>
      <c r="D58" s="13">
        <v>-40320</v>
      </c>
      <c r="E58" s="13">
        <v>0</v>
      </c>
      <c r="F58" s="13">
        <v>-16128</v>
      </c>
    </row>
    <row r="59">
      <c r="A59" s="13">
        <v>57</v>
      </c>
      <c r="B59" s="13" t="s">
        <v>227</v>
      </c>
      <c r="C59" s="13">
        <v>0</v>
      </c>
      <c r="D59" s="13">
        <v>-6890</v>
      </c>
      <c r="E59" s="13">
        <v>0</v>
      </c>
      <c r="F59" s="13">
        <v>-1908</v>
      </c>
    </row>
    <row r="60">
      <c r="A60" s="13">
        <v>58</v>
      </c>
      <c r="B60" s="13" t="s">
        <v>229</v>
      </c>
      <c r="C60" s="13">
        <v>0</v>
      </c>
      <c r="D60" s="13">
        <v>-61069</v>
      </c>
      <c r="E60" s="13">
        <v>0</v>
      </c>
      <c r="F60" s="13">
        <v>-26424</v>
      </c>
    </row>
    <row r="61">
      <c r="A61" s="13">
        <v>59</v>
      </c>
      <c r="B61" s="13" t="s">
        <v>231</v>
      </c>
      <c r="C61" s="13">
        <v>0</v>
      </c>
      <c r="D61" s="13">
        <v>-5655</v>
      </c>
      <c r="E61" s="13">
        <v>0</v>
      </c>
      <c r="F61" s="13">
        <v>-1566</v>
      </c>
    </row>
    <row r="62">
      <c r="A62" s="13">
        <v>60</v>
      </c>
      <c r="B62" s="13" t="s">
        <v>233</v>
      </c>
      <c r="C62" s="13">
        <v>0</v>
      </c>
      <c r="D62" s="13">
        <v>-33525</v>
      </c>
      <c r="E62" s="13">
        <v>0</v>
      </c>
      <c r="F62" s="13">
        <v>-13410</v>
      </c>
    </row>
    <row r="63">
      <c r="A63" s="13">
        <v>61</v>
      </c>
      <c r="B63" s="13" t="s">
        <v>235</v>
      </c>
      <c r="C63" s="13">
        <v>0</v>
      </c>
      <c r="D63" s="13">
        <v>-44070</v>
      </c>
      <c r="E63" s="13">
        <v>0</v>
      </c>
      <c r="F63" s="13">
        <v>-12204</v>
      </c>
    </row>
    <row r="64">
      <c r="A64" s="13">
        <v>62</v>
      </c>
      <c r="B64" s="13" t="s">
        <v>238</v>
      </c>
      <c r="C64" s="13">
        <v>0</v>
      </c>
      <c r="D64" s="13">
        <v>-1560</v>
      </c>
      <c r="E64" s="13">
        <v>0</v>
      </c>
      <c r="F64" s="13">
        <v>-432</v>
      </c>
    </row>
    <row r="65">
      <c r="A65" s="13">
        <v>63</v>
      </c>
      <c r="B65" s="13" t="s">
        <v>239</v>
      </c>
      <c r="C65" s="13">
        <v>0</v>
      </c>
      <c r="D65" s="13">
        <v>-60000</v>
      </c>
      <c r="E65" s="13">
        <v>0</v>
      </c>
      <c r="F65" s="13">
        <v>-25902</v>
      </c>
    </row>
    <row r="66">
      <c r="A66" s="13">
        <v>64</v>
      </c>
      <c r="B66" s="13" t="s">
        <v>241</v>
      </c>
      <c r="C66" s="13">
        <v>0</v>
      </c>
      <c r="D66" s="13">
        <v>-29565</v>
      </c>
      <c r="E66" s="13">
        <v>0</v>
      </c>
      <c r="F66" s="13">
        <v>-11826</v>
      </c>
    </row>
    <row r="67">
      <c r="A67" s="13">
        <v>65</v>
      </c>
      <c r="B67" s="13" t="s">
        <v>243</v>
      </c>
      <c r="C67" s="13">
        <v>0</v>
      </c>
      <c r="D67" s="13">
        <v>-5655</v>
      </c>
      <c r="E67" s="13">
        <v>0</v>
      </c>
      <c r="F67" s="13">
        <v>-1566</v>
      </c>
    </row>
    <row r="68">
      <c r="A68" s="13">
        <v>66</v>
      </c>
      <c r="B68" s="13" t="s">
        <v>247</v>
      </c>
      <c r="C68" s="13">
        <v>0</v>
      </c>
      <c r="D68" s="13">
        <v>-1080</v>
      </c>
      <c r="E68" s="13">
        <v>0</v>
      </c>
      <c r="F68" s="13">
        <v>-432</v>
      </c>
    </row>
    <row r="69">
      <c r="A69" s="13">
        <v>67</v>
      </c>
      <c r="B69" s="13" t="s">
        <v>249</v>
      </c>
      <c r="C69" s="13">
        <v>0</v>
      </c>
      <c r="D69" s="13">
        <v>-1560</v>
      </c>
      <c r="E69" s="13">
        <v>0</v>
      </c>
      <c r="F69" s="13">
        <v>-432</v>
      </c>
    </row>
    <row r="70">
      <c r="A70" s="13">
        <v>68</v>
      </c>
      <c r="B70" s="13" t="s">
        <v>252</v>
      </c>
      <c r="C70" s="13">
        <v>0</v>
      </c>
      <c r="D70" s="13">
        <v>-3915</v>
      </c>
      <c r="E70" s="13">
        <v>0</v>
      </c>
      <c r="F70" s="13">
        <v>-1566</v>
      </c>
    </row>
    <row r="71">
      <c r="A71" s="13">
        <v>69</v>
      </c>
      <c r="B71" s="13" t="s">
        <v>254</v>
      </c>
      <c r="C71" s="13">
        <v>0</v>
      </c>
      <c r="D71" s="13">
        <v>-74685</v>
      </c>
      <c r="E71" s="13">
        <v>0</v>
      </c>
      <c r="F71" s="13">
        <v>-20682</v>
      </c>
    </row>
    <row r="72">
      <c r="A72" s="13">
        <v>70</v>
      </c>
      <c r="B72" s="13" t="s">
        <v>256</v>
      </c>
      <c r="C72" s="13">
        <v>0</v>
      </c>
      <c r="D72" s="13">
        <v>-5655</v>
      </c>
      <c r="E72" s="13">
        <v>0</v>
      </c>
      <c r="F72" s="13">
        <v>-1566</v>
      </c>
    </row>
    <row r="73">
      <c r="A73" s="13">
        <v>71</v>
      </c>
      <c r="B73" s="13" t="s">
        <v>258</v>
      </c>
      <c r="C73" s="13">
        <v>0</v>
      </c>
      <c r="D73" s="13">
        <v>-73710</v>
      </c>
      <c r="E73" s="13">
        <v>0</v>
      </c>
      <c r="F73" s="13">
        <v>-20412</v>
      </c>
    </row>
    <row r="74">
      <c r="A74" s="13">
        <v>72</v>
      </c>
      <c r="B74" s="13" t="s">
        <v>261</v>
      </c>
      <c r="C74" s="13">
        <v>0</v>
      </c>
      <c r="D74" s="13">
        <v>-80000</v>
      </c>
      <c r="E74" s="13">
        <v>0</v>
      </c>
      <c r="F74" s="13">
        <v>-25902</v>
      </c>
    </row>
    <row r="75">
      <c r="A75" s="13">
        <v>73</v>
      </c>
      <c r="B75" s="13" t="s">
        <v>263</v>
      </c>
      <c r="C75" s="13">
        <v>0</v>
      </c>
      <c r="D75" s="13">
        <v>-42770</v>
      </c>
      <c r="E75" s="13">
        <v>0</v>
      </c>
      <c r="F75" s="13">
        <v>-11844</v>
      </c>
    </row>
    <row r="76">
      <c r="A76" s="13">
        <v>74</v>
      </c>
      <c r="B76" s="13" t="s">
        <v>265</v>
      </c>
      <c r="C76" s="13">
        <v>0</v>
      </c>
      <c r="D76" s="13">
        <v>-3120</v>
      </c>
      <c r="E76" s="13">
        <v>0</v>
      </c>
      <c r="F76" s="13">
        <v>-864</v>
      </c>
    </row>
    <row r="77">
      <c r="A77" s="13">
        <v>75</v>
      </c>
      <c r="B77" s="13" t="s">
        <v>268</v>
      </c>
      <c r="C77" s="13">
        <v>0</v>
      </c>
      <c r="D77" s="13">
        <v>-42770</v>
      </c>
      <c r="E77" s="13">
        <v>0</v>
      </c>
      <c r="F77" s="13">
        <v>-11844</v>
      </c>
    </row>
    <row r="78">
      <c r="A78" s="13">
        <v>76</v>
      </c>
      <c r="B78" s="13" t="s">
        <v>270</v>
      </c>
      <c r="C78" s="13">
        <v>0</v>
      </c>
      <c r="D78" s="13">
        <v>-73385</v>
      </c>
      <c r="E78" s="13">
        <v>0</v>
      </c>
      <c r="F78" s="13">
        <v>-20322</v>
      </c>
    </row>
    <row r="79">
      <c r="A79" s="13">
        <v>77</v>
      </c>
      <c r="B79" s="13" t="s">
        <v>272</v>
      </c>
      <c r="C79" s="13">
        <v>0</v>
      </c>
      <c r="D79" s="13">
        <v>-42770</v>
      </c>
      <c r="E79" s="13">
        <v>0</v>
      </c>
      <c r="F79" s="13">
        <v>-11844</v>
      </c>
    </row>
    <row r="80">
      <c r="A80" s="13">
        <v>78</v>
      </c>
      <c r="B80" s="13" t="s">
        <v>275</v>
      </c>
      <c r="C80" s="13">
        <v>0</v>
      </c>
      <c r="D80" s="13">
        <v>-29565</v>
      </c>
      <c r="E80" s="13">
        <v>0</v>
      </c>
      <c r="F80" s="13">
        <v>-11826</v>
      </c>
    </row>
    <row r="81">
      <c r="A81" s="13">
        <v>79</v>
      </c>
      <c r="B81" s="13" t="s">
        <v>277</v>
      </c>
      <c r="C81" s="13">
        <v>0</v>
      </c>
      <c r="D81" s="13">
        <v>-6890</v>
      </c>
      <c r="E81" s="13">
        <v>0</v>
      </c>
      <c r="F81" s="13">
        <v>-1908</v>
      </c>
    </row>
    <row r="82">
      <c r="A82" s="13">
        <v>80</v>
      </c>
      <c r="B82" s="13" t="s">
        <v>279</v>
      </c>
      <c r="C82" s="13">
        <v>0</v>
      </c>
      <c r="D82" s="13">
        <v>-52585</v>
      </c>
      <c r="E82" s="13">
        <v>0</v>
      </c>
      <c r="F82" s="13">
        <v>-14562</v>
      </c>
    </row>
    <row r="83">
      <c r="A83" s="13">
        <v>81</v>
      </c>
      <c r="B83" s="13" t="s">
        <v>282</v>
      </c>
      <c r="C83" s="13">
        <v>0</v>
      </c>
      <c r="D83" s="13">
        <v>-42705</v>
      </c>
      <c r="E83" s="13">
        <v>0</v>
      </c>
      <c r="F83" s="13">
        <v>-11826</v>
      </c>
    </row>
    <row r="84">
      <c r="A84" s="13">
        <v>82</v>
      </c>
      <c r="B84" s="13" t="s">
        <v>284</v>
      </c>
      <c r="C84" s="13">
        <v>0</v>
      </c>
      <c r="D84" s="13">
        <v>-1080</v>
      </c>
      <c r="E84" s="13">
        <v>0</v>
      </c>
      <c r="F84" s="13">
        <v>-432</v>
      </c>
    </row>
    <row r="85">
      <c r="A85" s="13">
        <v>83</v>
      </c>
      <c r="B85" s="13" t="s">
        <v>286</v>
      </c>
      <c r="C85" s="13">
        <v>0</v>
      </c>
      <c r="D85" s="13">
        <v>-1080</v>
      </c>
      <c r="E85" s="13">
        <v>0</v>
      </c>
      <c r="F85" s="13">
        <v>-432</v>
      </c>
    </row>
    <row r="86">
      <c r="A86" s="13">
        <v>84</v>
      </c>
      <c r="B86" s="13" t="s">
        <v>288</v>
      </c>
      <c r="C86" s="13">
        <v>0</v>
      </c>
      <c r="D86" s="13">
        <v>-73385</v>
      </c>
      <c r="E86" s="13">
        <v>0</v>
      </c>
      <c r="F86" s="13">
        <v>-20322</v>
      </c>
    </row>
    <row r="87">
      <c r="A87" s="13">
        <v>85</v>
      </c>
      <c r="B87" s="13" t="s">
        <v>290</v>
      </c>
      <c r="C87" s="13">
        <v>-1035</v>
      </c>
      <c r="D87" s="13">
        <v>0</v>
      </c>
      <c r="E87" s="13">
        <v>0</v>
      </c>
      <c r="F87" s="13">
        <v>-414</v>
      </c>
    </row>
    <row r="88">
      <c r="A88" s="13">
        <v>86</v>
      </c>
      <c r="B88" s="13" t="s">
        <v>294</v>
      </c>
      <c r="C88" s="13">
        <v>0</v>
      </c>
      <c r="D88" s="13">
        <v>-5655</v>
      </c>
      <c r="E88" s="13">
        <v>0</v>
      </c>
      <c r="F88" s="13">
        <v>-1566</v>
      </c>
    </row>
    <row r="89">
      <c r="A89" s="13">
        <v>87</v>
      </c>
      <c r="B89" s="13" t="s">
        <v>297</v>
      </c>
      <c r="C89" s="13">
        <v>0</v>
      </c>
      <c r="D89" s="13">
        <v>-88344</v>
      </c>
      <c r="E89" s="13">
        <v>0</v>
      </c>
      <c r="F89" s="13">
        <v>-28242</v>
      </c>
    </row>
    <row r="90">
      <c r="A90" s="13">
        <v>88</v>
      </c>
      <c r="B90" s="13" t="s">
        <v>299</v>
      </c>
      <c r="C90" s="13">
        <v>0</v>
      </c>
      <c r="D90" s="13">
        <v>-4745</v>
      </c>
      <c r="E90" s="13">
        <v>0</v>
      </c>
      <c r="F90" s="13">
        <v>-1314</v>
      </c>
    </row>
    <row r="91">
      <c r="A91" s="13">
        <v>89</v>
      </c>
      <c r="B91" s="13" t="s">
        <v>301</v>
      </c>
      <c r="C91" s="13">
        <v>0</v>
      </c>
      <c r="D91" s="13">
        <v>-42705</v>
      </c>
      <c r="E91" s="13">
        <v>0</v>
      </c>
      <c r="F91" s="13">
        <v>-11826</v>
      </c>
    </row>
    <row r="92">
      <c r="A92" s="13">
        <v>90</v>
      </c>
      <c r="B92" s="13" t="s">
        <v>303</v>
      </c>
      <c r="C92" s="13">
        <v>0</v>
      </c>
      <c r="D92" s="13">
        <v>-73385</v>
      </c>
      <c r="E92" s="13">
        <v>0</v>
      </c>
      <c r="F92" s="13">
        <v>-20322</v>
      </c>
    </row>
    <row r="93">
      <c r="A93" s="13">
        <v>91</v>
      </c>
      <c r="B93" s="13" t="s">
        <v>305</v>
      </c>
      <c r="C93" s="13">
        <v>0</v>
      </c>
      <c r="D93" s="13">
        <v>-80000</v>
      </c>
      <c r="E93" s="13">
        <v>0</v>
      </c>
      <c r="F93" s="13">
        <v>-23382</v>
      </c>
    </row>
    <row r="94">
      <c r="A94" s="13">
        <v>92</v>
      </c>
      <c r="B94" s="13" t="s">
        <v>307</v>
      </c>
      <c r="C94" s="13">
        <v>0</v>
      </c>
      <c r="D94" s="13">
        <v>-3915</v>
      </c>
      <c r="E94" s="13">
        <v>0</v>
      </c>
      <c r="F94" s="13">
        <v>-1566</v>
      </c>
    </row>
    <row r="95">
      <c r="A95" s="13">
        <v>93</v>
      </c>
      <c r="B95" s="13" t="s">
        <v>309</v>
      </c>
      <c r="C95" s="13">
        <v>0</v>
      </c>
      <c r="D95" s="13">
        <v>-52585</v>
      </c>
      <c r="E95" s="13">
        <v>0</v>
      </c>
      <c r="F95" s="13">
        <v>-14562</v>
      </c>
    </row>
    <row r="96">
      <c r="A96" s="13">
        <v>94</v>
      </c>
      <c r="B96" s="13" t="s">
        <v>311</v>
      </c>
      <c r="C96" s="13">
        <v>0</v>
      </c>
      <c r="D96" s="13">
        <v>-42705</v>
      </c>
      <c r="E96" s="13">
        <v>0</v>
      </c>
      <c r="F96" s="13">
        <v>-11826</v>
      </c>
    </row>
    <row r="97">
      <c r="A97" s="13">
        <v>95</v>
      </c>
      <c r="B97" s="13" t="s">
        <v>313</v>
      </c>
      <c r="C97" s="13">
        <v>0</v>
      </c>
      <c r="D97" s="13">
        <v>-44070</v>
      </c>
      <c r="E97" s="13">
        <v>0</v>
      </c>
      <c r="F97" s="13">
        <v>-12204</v>
      </c>
    </row>
    <row r="98">
      <c r="A98" s="13">
        <v>96</v>
      </c>
      <c r="B98" s="13" t="s">
        <v>315</v>
      </c>
      <c r="C98" s="13">
        <v>0</v>
      </c>
      <c r="D98" s="13">
        <v>-5655</v>
      </c>
      <c r="E98" s="13">
        <v>0</v>
      </c>
      <c r="F98" s="13">
        <v>-1566</v>
      </c>
    </row>
    <row r="99">
      <c r="A99" s="13">
        <v>97</v>
      </c>
      <c r="B99" s="13" t="s">
        <v>317</v>
      </c>
      <c r="C99" s="13">
        <v>0</v>
      </c>
      <c r="D99" s="13">
        <v>-6890</v>
      </c>
      <c r="E99" s="13">
        <v>0</v>
      </c>
      <c r="F99" s="13">
        <v>-1908</v>
      </c>
    </row>
    <row r="100">
      <c r="A100" s="13">
        <v>98</v>
      </c>
      <c r="B100" s="13" t="s">
        <v>319</v>
      </c>
      <c r="C100" s="13">
        <v>0</v>
      </c>
      <c r="D100" s="13">
        <v>-44070</v>
      </c>
      <c r="E100" s="13">
        <v>0</v>
      </c>
      <c r="F100" s="13">
        <v>-12204</v>
      </c>
    </row>
    <row r="101">
      <c r="A101" s="13">
        <v>99</v>
      </c>
      <c r="B101" s="13" t="s">
        <v>321</v>
      </c>
      <c r="C101" s="13">
        <v>0</v>
      </c>
      <c r="D101" s="13">
        <v>-73385</v>
      </c>
      <c r="E101" s="13">
        <v>0</v>
      </c>
      <c r="F101" s="13">
        <v>-20322</v>
      </c>
    </row>
    <row r="102">
      <c r="A102" s="13">
        <v>100</v>
      </c>
      <c r="B102" s="13" t="s">
        <v>323</v>
      </c>
      <c r="C102" s="13">
        <v>0</v>
      </c>
      <c r="D102" s="13">
        <v>-5655</v>
      </c>
      <c r="E102" s="13">
        <v>0</v>
      </c>
      <c r="F102" s="13">
        <v>-1566</v>
      </c>
    </row>
  </sheetData>
  <mergeCells xmlns="" count="1">
    <mergeCell ref="C1:F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G1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s>
  <sheetData>
    <row r="1" ht="50" customHeight="true">
      <c r="A1" s="20" t="s">
        <v>329</v>
      </c>
      <c r="B1" s="20" t="s"/>
      <c r="C1" s="20" t="s"/>
      <c r="D1" s="20" t="s"/>
      <c r="E1" s="20" t="s"/>
      <c r="F1" s="20" t="s"/>
      <c r="G1" s="20" t="s"/>
    </row>
    <row r="2">
      <c r="A2" s="16" t="s">
        <v>2</v>
      </c>
      <c r="B2" s="21" t="s">
        <v>3</v>
      </c>
    </row>
    <row r="3">
      <c r="A3" s="21" t="s">
        <v>4</v>
      </c>
      <c r="B3" s="19" t="s">
        <v>5</v>
      </c>
      <c r="C3" s="21" t="s">
        <v>6</v>
      </c>
      <c r="D3" s="19" t="s">
        <v>7</v>
      </c>
    </row>
    <row r="4">
      <c r="A4" s="21" t="s">
        <v>9</v>
      </c>
    </row>
    <row r="5"/>
    <row r="6">
      <c r="A6" s="19" t="s"/>
      <c r="B6" s="19" t="s"/>
    </row>
    <row r="7" ht="20.4" customHeight="true">
      <c r="A7" s="10" t="s">
        <v>330</v>
      </c>
      <c r="B7" s="10" t="s"/>
      <c r="C7" s="10" t="s"/>
      <c r="D7" s="10" t="s"/>
      <c r="E7" s="10" t="s"/>
    </row>
    <row r="8" ht="17.6" customHeight="true">
      <c r="A8" s="22" t="s">
        <v>331</v>
      </c>
      <c r="B8" s="22" t="s"/>
      <c r="C8" s="22" t="s"/>
      <c r="D8" s="22" t="s"/>
      <c r="E8" s="23">
        <v>111000</v>
      </c>
    </row>
    <row r="9">
      <c r="A9" s="2" t="s"/>
      <c r="B9" s="13" t="s">
        <v>332</v>
      </c>
      <c r="C9" s="2" t="s"/>
      <c r="D9" s="19">
        <v>111000</v>
      </c>
    </row>
    <row r="10"/>
    <row r="11"/>
    <row r="12" ht="20.4" customHeight="true">
      <c r="A12" s="10" t="s">
        <v>333</v>
      </c>
      <c r="B12" s="10" t="s"/>
      <c r="C12" s="10" t="s"/>
      <c r="D12" s="10" t="s"/>
      <c r="E12" s="10" t="s"/>
    </row>
    <row r="13">
      <c r="A13" s="17" t="s">
        <v>44</v>
      </c>
      <c r="B13" s="17" t="s">
        <v>334</v>
      </c>
      <c r="C13" s="17" t="s">
        <v>335</v>
      </c>
      <c r="D13" s="17" t="s">
        <v>336</v>
      </c>
      <c r="E13" s="17" t="s">
        <v>337</v>
      </c>
      <c r="F13" s="17" t="s">
        <v>338</v>
      </c>
      <c r="G13" s="17" t="s">
        <v>50</v>
      </c>
    </row>
    <row r="14">
      <c r="A14" s="19">
        <v>1</v>
      </c>
      <c r="B14" s="19" t="s">
        <v>281</v>
      </c>
      <c r="C14" s="19" t="s">
        <v>332</v>
      </c>
      <c r="D14" s="19" t="s"/>
      <c r="E14" s="19">
        <v>111000</v>
      </c>
      <c r="F14" s="19" t="s">
        <v>339</v>
      </c>
      <c r="G14" s="19" t="s"/>
    </row>
    <row r="15"/>
    <row r="16">
      <c r="A16" s="21" t="s">
        <v>340</v>
      </c>
      <c r="B16" s="21" t="s"/>
      <c r="C16" s="21" t="s"/>
      <c r="D16" s="21" t="s"/>
      <c r="E16" s="21">
        <v>111000</v>
      </c>
    </row>
    <row r="17" ht="17.6" customHeight="true">
      <c r="A17" s="24" t="s"/>
    </row>
  </sheetData>
  <mergeCells xmlns="" count="4">
    <mergeCell ref="A1:G1"/>
    <mergeCell ref="A7:E7"/>
    <mergeCell ref="A8:D8"/>
    <mergeCell ref="A12:E12"/>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O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25" t="s">
        <v>341</v>
      </c>
      <c r="B1" s="25" t="s"/>
      <c r="C1" s="25" t="s"/>
      <c r="D1" s="25" t="s"/>
      <c r="E1" s="25" t="s"/>
      <c r="F1" s="25" t="s"/>
      <c r="G1" s="25" t="s"/>
      <c r="H1" s="25" t="s"/>
      <c r="I1" s="25" t="s"/>
      <c r="J1" s="25" t="s"/>
      <c r="K1" s="25" t="s"/>
      <c r="L1" s="25" t="s"/>
      <c r="M1" s="25" t="s"/>
      <c r="N1" s="25" t="s"/>
      <c r="O1" s="25" t="s"/>
    </row>
    <row r="2">
      <c r="A2" s="26" t="s">
        <v>45</v>
      </c>
      <c r="B2" s="26" t="s">
        <v>342</v>
      </c>
      <c r="C2" s="26" t="s">
        <v>343</v>
      </c>
      <c r="D2" s="26" t="s">
        <v>344</v>
      </c>
      <c r="E2" s="26" t="s"/>
      <c r="F2" s="26" t="s"/>
      <c r="G2" s="26" t="s"/>
    </row>
    <row r="3">
      <c r="A3" s="27" t="s">
        <v>68</v>
      </c>
      <c r="B3" s="27">
        <v>3100</v>
      </c>
      <c r="C3" s="27">
        <v>3400</v>
      </c>
      <c r="D3" s="27" t="s">
        <v>345</v>
      </c>
      <c r="E3" s="27" t="s"/>
      <c r="F3" s="27" t="s"/>
      <c r="G3" s="27" t="s"/>
    </row>
    <row r="4">
      <c r="A4" s="27" t="s">
        <v>272</v>
      </c>
      <c r="B4" s="27">
        <v>70000</v>
      </c>
      <c r="C4" s="27">
        <v>105000</v>
      </c>
      <c r="D4" s="27" t="s">
        <v>346</v>
      </c>
      <c r="E4" s="27" t="s"/>
      <c r="F4" s="27" t="s"/>
      <c r="G4" s="27" t="s"/>
    </row>
    <row r="5">
      <c r="A5" s="27" t="s">
        <v>81</v>
      </c>
      <c r="B5" s="27">
        <v>3100</v>
      </c>
      <c r="C5" s="27">
        <v>3400</v>
      </c>
      <c r="D5" s="27" t="s">
        <v>345</v>
      </c>
      <c r="E5" s="27" t="s"/>
      <c r="F5" s="27" t="s"/>
      <c r="G5" s="27" t="s"/>
    </row>
    <row r="6">
      <c r="A6" s="27" t="s">
        <v>73</v>
      </c>
      <c r="B6" s="27">
        <v>3100</v>
      </c>
      <c r="C6" s="27">
        <v>3400</v>
      </c>
      <c r="D6" s="27" t="s">
        <v>345</v>
      </c>
      <c r="E6" s="27" t="s"/>
      <c r="F6" s="27" t="s"/>
      <c r="G6" s="27" t="s"/>
    </row>
    <row r="7">
      <c r="A7" s="27" t="s">
        <v>136</v>
      </c>
      <c r="B7" s="27">
        <v>3100</v>
      </c>
      <c r="C7" s="27">
        <v>3400</v>
      </c>
      <c r="D7" s="27" t="s">
        <v>345</v>
      </c>
      <c r="E7" s="27" t="s"/>
      <c r="F7" s="27" t="s"/>
      <c r="G7" s="27"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sheetPr filterMode="false">
    <pageSetUpPr fitToPage="false"/>
  </sheetPr>
  <dimension ref="A1:G21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8" width="10" customWidth="true"/>
    <col collapsed="false" hidden="false" max="16384" min="1" style="28" width="10" customWidth="true"/>
    <col collapsed="false" hidden="false" max="16384" min="1" style="28"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8" width="10" customWidth="true"/>
    <col collapsed="false" hidden="false" max="16384" min="1" style="28" width="10" customWidth="true"/>
    <col collapsed="false" hidden="false" max="16384" min="1" style="28"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s>
  <sheetData>
    <row r="1">
      <c r="A1" s="17" t="s">
        <v>44</v>
      </c>
      <c r="B1" s="17" t="s">
        <v>347</v>
      </c>
      <c r="C1" s="17" t="s">
        <v>45</v>
      </c>
      <c r="D1" s="17" t="s">
        <v>348</v>
      </c>
      <c r="E1" s="17" t="s">
        <v>349</v>
      </c>
      <c r="F1" s="17" t="s">
        <v>34</v>
      </c>
      <c r="G1" s="17" t="s">
        <v>350</v>
      </c>
    </row>
    <row r="2">
      <c r="A2" s="17">
        <v>1</v>
      </c>
      <c r="B2" s="17" t="s">
        <v>351</v>
      </c>
      <c r="C2" s="17" t="s">
        <v>62</v>
      </c>
      <c r="D2" s="17" t="s">
        <v>352</v>
      </c>
      <c r="E2" s="17" t="s">
        <v>352</v>
      </c>
      <c r="F2" s="17">
        <v>-1250</v>
      </c>
      <c r="G2" s="17" t="s">
        <v>352</v>
      </c>
    </row>
    <row r="3">
      <c r="A3" s="17">
        <v>2</v>
      </c>
      <c r="B3" s="17" t="s">
        <v>353</v>
      </c>
      <c r="C3" s="17" t="s">
        <v>62</v>
      </c>
      <c r="D3" s="17">
        <v>58005005751</v>
      </c>
      <c r="E3" s="17" t="s">
        <v>354</v>
      </c>
      <c r="F3" s="17" t="s">
        <v>352</v>
      </c>
      <c r="G3" s="17">
        <v>-1250</v>
      </c>
    </row>
    <row r="4">
      <c r="A4" s="17">
        <v>3</v>
      </c>
      <c r="B4" s="17" t="s">
        <v>351</v>
      </c>
      <c r="C4" s="17" t="s">
        <v>68</v>
      </c>
      <c r="D4" s="17" t="s">
        <v>352</v>
      </c>
      <c r="E4" s="17" t="s">
        <v>352</v>
      </c>
      <c r="F4" s="17">
        <v>-1250</v>
      </c>
      <c r="G4" s="17" t="s">
        <v>352</v>
      </c>
    </row>
    <row r="5">
      <c r="A5" s="17">
        <v>4</v>
      </c>
      <c r="B5" s="17" t="s">
        <v>353</v>
      </c>
      <c r="C5" s="17" t="s">
        <v>68</v>
      </c>
      <c r="D5" s="17">
        <v>55104943929</v>
      </c>
      <c r="E5" s="17" t="s">
        <v>355</v>
      </c>
      <c r="F5" s="17" t="s">
        <v>352</v>
      </c>
      <c r="G5" s="17">
        <v>-1250</v>
      </c>
    </row>
    <row r="6">
      <c r="A6" s="17">
        <v>5</v>
      </c>
      <c r="B6" s="17" t="s">
        <v>351</v>
      </c>
      <c r="C6" s="17" t="s">
        <v>73</v>
      </c>
      <c r="D6" s="17" t="s">
        <v>352</v>
      </c>
      <c r="E6" s="17" t="s">
        <v>352</v>
      </c>
      <c r="F6" s="17">
        <v>-1250</v>
      </c>
      <c r="G6" s="17" t="s">
        <v>352</v>
      </c>
    </row>
    <row r="7">
      <c r="A7" s="17">
        <v>6</v>
      </c>
      <c r="B7" s="17" t="s">
        <v>353</v>
      </c>
      <c r="C7" s="17" t="s">
        <v>73</v>
      </c>
      <c r="D7" s="17">
        <v>55104943929</v>
      </c>
      <c r="E7" s="17" t="s">
        <v>355</v>
      </c>
      <c r="F7" s="17" t="s">
        <v>352</v>
      </c>
      <c r="G7" s="17">
        <v>-1250</v>
      </c>
    </row>
    <row r="8">
      <c r="A8" s="17">
        <v>7</v>
      </c>
      <c r="B8" s="17" t="s">
        <v>351</v>
      </c>
      <c r="C8" s="17" t="s">
        <v>77</v>
      </c>
      <c r="D8" s="17" t="s">
        <v>352</v>
      </c>
      <c r="E8" s="17" t="s">
        <v>352</v>
      </c>
      <c r="F8" s="17">
        <v>-1250</v>
      </c>
      <c r="G8" s="17" t="s">
        <v>352</v>
      </c>
    </row>
    <row r="9">
      <c r="A9" s="17">
        <v>8</v>
      </c>
      <c r="B9" s="17" t="s">
        <v>353</v>
      </c>
      <c r="C9" s="17" t="s">
        <v>77</v>
      </c>
      <c r="D9" s="17">
        <v>58005005751</v>
      </c>
      <c r="E9" s="17" t="s">
        <v>354</v>
      </c>
      <c r="F9" s="17" t="s">
        <v>352</v>
      </c>
      <c r="G9" s="17">
        <v>-1250</v>
      </c>
    </row>
    <row r="10">
      <c r="A10" s="17">
        <v>9</v>
      </c>
      <c r="B10" s="17" t="s">
        <v>351</v>
      </c>
      <c r="C10" s="17" t="s">
        <v>81</v>
      </c>
      <c r="D10" s="17" t="s">
        <v>352</v>
      </c>
      <c r="E10" s="17" t="s">
        <v>352</v>
      </c>
      <c r="F10" s="17">
        <v>-1250</v>
      </c>
      <c r="G10" s="17" t="s">
        <v>352</v>
      </c>
    </row>
    <row r="11">
      <c r="A11" s="17">
        <v>10</v>
      </c>
      <c r="B11" s="17" t="s">
        <v>353</v>
      </c>
      <c r="C11" s="17" t="s">
        <v>81</v>
      </c>
      <c r="D11" s="17">
        <v>51155610791</v>
      </c>
      <c r="E11" s="17" t="s">
        <v>355</v>
      </c>
      <c r="F11" s="17" t="s">
        <v>352</v>
      </c>
      <c r="G11" s="17">
        <v>-1250</v>
      </c>
    </row>
    <row r="12">
      <c r="A12" s="17">
        <v>11</v>
      </c>
      <c r="B12" s="17" t="s">
        <v>351</v>
      </c>
      <c r="C12" s="17" t="s">
        <v>85</v>
      </c>
      <c r="D12" s="17" t="s">
        <v>352</v>
      </c>
      <c r="E12" s="17" t="s">
        <v>352</v>
      </c>
      <c r="F12" s="17">
        <v>-1250</v>
      </c>
      <c r="G12" s="17" t="s">
        <v>352</v>
      </c>
    </row>
    <row r="13">
      <c r="A13" s="17">
        <v>12</v>
      </c>
      <c r="B13" s="17" t="s">
        <v>353</v>
      </c>
      <c r="C13" s="17" t="s">
        <v>85</v>
      </c>
      <c r="D13" s="17">
        <v>51155610791</v>
      </c>
      <c r="E13" s="17" t="s">
        <v>355</v>
      </c>
      <c r="F13" s="17" t="s">
        <v>352</v>
      </c>
      <c r="G13" s="17">
        <v>-1250</v>
      </c>
    </row>
    <row r="14">
      <c r="A14" s="17">
        <v>13</v>
      </c>
      <c r="B14" s="17" t="s">
        <v>351</v>
      </c>
      <c r="C14" s="17" t="s">
        <v>89</v>
      </c>
      <c r="D14" s="17" t="s">
        <v>352</v>
      </c>
      <c r="E14" s="17" t="s">
        <v>352</v>
      </c>
      <c r="F14" s="17">
        <v>-1250</v>
      </c>
      <c r="G14" s="17" t="s">
        <v>352</v>
      </c>
    </row>
    <row r="15">
      <c r="A15" s="17">
        <v>14</v>
      </c>
      <c r="B15" s="17" t="s">
        <v>353</v>
      </c>
      <c r="C15" s="17" t="s">
        <v>89</v>
      </c>
      <c r="D15" s="17">
        <v>42369673659</v>
      </c>
      <c r="E15" s="17" t="s">
        <v>356</v>
      </c>
      <c r="F15" s="17" t="s">
        <v>352</v>
      </c>
      <c r="G15" s="17">
        <v>-1250</v>
      </c>
    </row>
    <row r="16">
      <c r="A16" s="17">
        <v>15</v>
      </c>
      <c r="B16" s="17" t="s">
        <v>351</v>
      </c>
      <c r="C16" s="17" t="s">
        <v>95</v>
      </c>
      <c r="D16" s="17" t="s">
        <v>352</v>
      </c>
      <c r="E16" s="17" t="s">
        <v>352</v>
      </c>
      <c r="F16" s="17">
        <v>-1250</v>
      </c>
      <c r="G16" s="17" t="s">
        <v>352</v>
      </c>
    </row>
    <row r="17">
      <c r="A17" s="17">
        <v>16</v>
      </c>
      <c r="B17" s="17" t="s">
        <v>353</v>
      </c>
      <c r="C17" s="17" t="s">
        <v>95</v>
      </c>
      <c r="D17" s="17">
        <v>44369634478</v>
      </c>
      <c r="E17" s="17" t="s">
        <v>357</v>
      </c>
      <c r="F17" s="17" t="s">
        <v>352</v>
      </c>
      <c r="G17" s="17">
        <v>-1250</v>
      </c>
    </row>
    <row r="18">
      <c r="A18" s="17">
        <v>17</v>
      </c>
      <c r="B18" s="17" t="s">
        <v>351</v>
      </c>
      <c r="C18" s="17" t="s">
        <v>99</v>
      </c>
      <c r="D18" s="17" t="s">
        <v>352</v>
      </c>
      <c r="E18" s="17" t="s">
        <v>352</v>
      </c>
      <c r="F18" s="17">
        <v>-1250</v>
      </c>
      <c r="G18" s="17" t="s">
        <v>352</v>
      </c>
    </row>
    <row r="19">
      <c r="A19" s="17">
        <v>18</v>
      </c>
      <c r="B19" s="17" t="s">
        <v>353</v>
      </c>
      <c r="C19" s="17" t="s">
        <v>99</v>
      </c>
      <c r="D19" s="17">
        <v>51155610791</v>
      </c>
      <c r="E19" s="17" t="s">
        <v>355</v>
      </c>
      <c r="F19" s="17" t="s">
        <v>352</v>
      </c>
      <c r="G19" s="17">
        <v>-1250</v>
      </c>
    </row>
    <row r="20">
      <c r="A20" s="17">
        <v>19</v>
      </c>
      <c r="B20" s="17" t="s">
        <v>351</v>
      </c>
      <c r="C20" s="17" t="s">
        <v>103</v>
      </c>
      <c r="D20" s="17" t="s">
        <v>352</v>
      </c>
      <c r="E20" s="17" t="s">
        <v>352</v>
      </c>
      <c r="F20" s="17">
        <v>-1250</v>
      </c>
      <c r="G20" s="17" t="s">
        <v>352</v>
      </c>
    </row>
    <row r="21">
      <c r="A21" s="17">
        <v>20</v>
      </c>
      <c r="B21" s="17" t="s">
        <v>353</v>
      </c>
      <c r="C21" s="17" t="s">
        <v>103</v>
      </c>
      <c r="D21" s="17">
        <v>41121568677</v>
      </c>
      <c r="E21" s="17" t="s">
        <v>358</v>
      </c>
      <c r="F21" s="17" t="s">
        <v>352</v>
      </c>
      <c r="G21" s="17">
        <v>-1250</v>
      </c>
    </row>
    <row r="22">
      <c r="A22" s="17">
        <v>21</v>
      </c>
      <c r="B22" s="17" t="s">
        <v>351</v>
      </c>
      <c r="C22" s="17" t="s">
        <v>107</v>
      </c>
      <c r="D22" s="17" t="s">
        <v>352</v>
      </c>
      <c r="E22" s="17" t="s">
        <v>352</v>
      </c>
      <c r="F22" s="17">
        <v>-1250</v>
      </c>
      <c r="G22" s="17" t="s">
        <v>352</v>
      </c>
    </row>
    <row r="23">
      <c r="A23" s="17">
        <v>22</v>
      </c>
      <c r="B23" s="17" t="s">
        <v>353</v>
      </c>
      <c r="C23" s="17" t="s">
        <v>107</v>
      </c>
      <c r="D23" s="17">
        <v>44369634478</v>
      </c>
      <c r="E23" s="17" t="s">
        <v>357</v>
      </c>
      <c r="F23" s="17" t="s">
        <v>352</v>
      </c>
      <c r="G23" s="17">
        <v>-1250</v>
      </c>
    </row>
    <row r="24">
      <c r="A24" s="17">
        <v>23</v>
      </c>
      <c r="B24" s="17" t="s">
        <v>351</v>
      </c>
      <c r="C24" s="17" t="s">
        <v>109</v>
      </c>
      <c r="D24" s="17" t="s">
        <v>352</v>
      </c>
      <c r="E24" s="17" t="s">
        <v>352</v>
      </c>
      <c r="F24" s="17">
        <v>-1250</v>
      </c>
      <c r="G24" s="17" t="s">
        <v>352</v>
      </c>
    </row>
    <row r="25">
      <c r="A25" s="17">
        <v>24</v>
      </c>
      <c r="B25" s="17" t="s">
        <v>353</v>
      </c>
      <c r="C25" s="17" t="s">
        <v>109</v>
      </c>
      <c r="D25" s="17">
        <v>42369673659</v>
      </c>
      <c r="E25" s="17" t="s">
        <v>356</v>
      </c>
      <c r="F25" s="17" t="s">
        <v>352</v>
      </c>
      <c r="G25" s="17">
        <v>-1250</v>
      </c>
    </row>
    <row r="26">
      <c r="A26" s="17">
        <v>25</v>
      </c>
      <c r="B26" s="17" t="s">
        <v>351</v>
      </c>
      <c r="C26" s="17" t="s">
        <v>111</v>
      </c>
      <c r="D26" s="17" t="s">
        <v>352</v>
      </c>
      <c r="E26" s="17" t="s">
        <v>352</v>
      </c>
      <c r="F26" s="17">
        <v>-1250</v>
      </c>
      <c r="G26" s="17" t="s">
        <v>352</v>
      </c>
    </row>
    <row r="27">
      <c r="A27" s="17">
        <v>26</v>
      </c>
      <c r="B27" s="17" t="s">
        <v>353</v>
      </c>
      <c r="C27" s="17" t="s">
        <v>111</v>
      </c>
      <c r="D27" s="17">
        <v>42369673659</v>
      </c>
      <c r="E27" s="17" t="s">
        <v>356</v>
      </c>
      <c r="F27" s="17" t="s">
        <v>352</v>
      </c>
      <c r="G27" s="17">
        <v>-1250</v>
      </c>
    </row>
    <row r="28">
      <c r="A28" s="17">
        <v>27</v>
      </c>
      <c r="B28" s="17" t="s">
        <v>351</v>
      </c>
      <c r="C28" s="17" t="s">
        <v>114</v>
      </c>
      <c r="D28" s="17" t="s">
        <v>352</v>
      </c>
      <c r="E28" s="17" t="s">
        <v>352</v>
      </c>
      <c r="F28" s="17">
        <v>-1250</v>
      </c>
      <c r="G28" s="17" t="s">
        <v>352</v>
      </c>
    </row>
    <row r="29">
      <c r="A29" s="17">
        <v>28</v>
      </c>
      <c r="B29" s="17" t="s">
        <v>353</v>
      </c>
      <c r="C29" s="17" t="s">
        <v>114</v>
      </c>
      <c r="D29" s="17">
        <v>51155610791</v>
      </c>
      <c r="E29" s="17" t="s">
        <v>355</v>
      </c>
      <c r="F29" s="17" t="s">
        <v>352</v>
      </c>
      <c r="G29" s="17">
        <v>-1250</v>
      </c>
    </row>
    <row r="30">
      <c r="A30" s="17">
        <v>29</v>
      </c>
      <c r="B30" s="17" t="s">
        <v>351</v>
      </c>
      <c r="C30" s="17" t="s">
        <v>117</v>
      </c>
      <c r="D30" s="17" t="s">
        <v>352</v>
      </c>
      <c r="E30" s="17" t="s">
        <v>352</v>
      </c>
      <c r="F30" s="17">
        <v>-1250</v>
      </c>
      <c r="G30" s="17" t="s">
        <v>352</v>
      </c>
    </row>
    <row r="31">
      <c r="A31" s="17">
        <v>30</v>
      </c>
      <c r="B31" s="17" t="s">
        <v>353</v>
      </c>
      <c r="C31" s="17" t="s">
        <v>117</v>
      </c>
      <c r="D31" s="17">
        <v>51155610791</v>
      </c>
      <c r="E31" s="17" t="s">
        <v>355</v>
      </c>
      <c r="F31" s="17" t="s">
        <v>352</v>
      </c>
      <c r="G31" s="17">
        <v>-1250</v>
      </c>
    </row>
    <row r="32">
      <c r="A32" s="17">
        <v>31</v>
      </c>
      <c r="B32" s="17" t="s">
        <v>351</v>
      </c>
      <c r="C32" s="17" t="s">
        <v>120</v>
      </c>
      <c r="D32" s="17" t="s">
        <v>352</v>
      </c>
      <c r="E32" s="17" t="s">
        <v>352</v>
      </c>
      <c r="F32" s="17">
        <v>-1250</v>
      </c>
      <c r="G32" s="17" t="s">
        <v>352</v>
      </c>
    </row>
    <row r="33">
      <c r="A33" s="17">
        <v>32</v>
      </c>
      <c r="B33" s="17" t="s">
        <v>353</v>
      </c>
      <c r="C33" s="17" t="s">
        <v>120</v>
      </c>
      <c r="D33" s="17">
        <v>42369673659</v>
      </c>
      <c r="E33" s="17" t="s">
        <v>356</v>
      </c>
      <c r="F33" s="17" t="s">
        <v>352</v>
      </c>
      <c r="G33" s="17">
        <v>-1250</v>
      </c>
    </row>
    <row r="34">
      <c r="A34" s="17">
        <v>33</v>
      </c>
      <c r="B34" s="17" t="s">
        <v>351</v>
      </c>
      <c r="C34" s="17" t="s">
        <v>125</v>
      </c>
      <c r="D34" s="17" t="s">
        <v>352</v>
      </c>
      <c r="E34" s="17" t="s">
        <v>352</v>
      </c>
      <c r="F34" s="17">
        <v>-1250</v>
      </c>
      <c r="G34" s="17" t="s">
        <v>352</v>
      </c>
    </row>
    <row r="35">
      <c r="A35" s="17">
        <v>34</v>
      </c>
      <c r="B35" s="17" t="s">
        <v>353</v>
      </c>
      <c r="C35" s="17" t="s">
        <v>125</v>
      </c>
      <c r="D35" s="17">
        <v>51155610791</v>
      </c>
      <c r="E35" s="17" t="s">
        <v>355</v>
      </c>
      <c r="F35" s="17" t="s">
        <v>352</v>
      </c>
      <c r="G35" s="17">
        <v>-1250</v>
      </c>
    </row>
    <row r="36">
      <c r="A36" s="17">
        <v>35</v>
      </c>
      <c r="B36" s="17" t="s">
        <v>351</v>
      </c>
      <c r="C36" s="17" t="s">
        <v>127</v>
      </c>
      <c r="D36" s="17" t="s">
        <v>352</v>
      </c>
      <c r="E36" s="17" t="s">
        <v>352</v>
      </c>
      <c r="F36" s="17">
        <v>-1250</v>
      </c>
      <c r="G36" s="17" t="s">
        <v>352</v>
      </c>
    </row>
    <row r="37">
      <c r="A37" s="17">
        <v>36</v>
      </c>
      <c r="B37" s="17" t="s">
        <v>353</v>
      </c>
      <c r="C37" s="17" t="s">
        <v>127</v>
      </c>
      <c r="D37" s="17">
        <v>58005005751</v>
      </c>
      <c r="E37" s="17" t="s">
        <v>354</v>
      </c>
      <c r="F37" s="17" t="s">
        <v>352</v>
      </c>
      <c r="G37" s="17">
        <v>-1250</v>
      </c>
    </row>
    <row r="38">
      <c r="A38" s="17">
        <v>37</v>
      </c>
      <c r="B38" s="17" t="s">
        <v>351</v>
      </c>
      <c r="C38" s="17" t="s">
        <v>130</v>
      </c>
      <c r="D38" s="17" t="s">
        <v>352</v>
      </c>
      <c r="E38" s="17" t="s">
        <v>352</v>
      </c>
      <c r="F38" s="17">
        <v>-1250</v>
      </c>
      <c r="G38" s="17" t="s">
        <v>352</v>
      </c>
    </row>
    <row r="39">
      <c r="A39" s="17">
        <v>38</v>
      </c>
      <c r="B39" s="17" t="s">
        <v>353</v>
      </c>
      <c r="C39" s="17" t="s">
        <v>130</v>
      </c>
      <c r="D39" s="17">
        <v>51155610791</v>
      </c>
      <c r="E39" s="17" t="s">
        <v>359</v>
      </c>
      <c r="F39" s="17" t="s">
        <v>352</v>
      </c>
      <c r="G39" s="17">
        <v>-1250</v>
      </c>
    </row>
    <row r="40">
      <c r="A40" s="17">
        <v>39</v>
      </c>
      <c r="B40" s="17" t="s">
        <v>351</v>
      </c>
      <c r="C40" s="17" t="s">
        <v>134</v>
      </c>
      <c r="D40" s="17" t="s">
        <v>352</v>
      </c>
      <c r="E40" s="17" t="s">
        <v>352</v>
      </c>
      <c r="F40" s="17">
        <v>-1250</v>
      </c>
      <c r="G40" s="17" t="s">
        <v>352</v>
      </c>
    </row>
    <row r="41">
      <c r="A41" s="17">
        <v>40</v>
      </c>
      <c r="B41" s="17" t="s">
        <v>353</v>
      </c>
      <c r="C41" s="17" t="s">
        <v>134</v>
      </c>
      <c r="D41" s="17">
        <v>40669679357</v>
      </c>
      <c r="E41" s="17" t="s">
        <v>360</v>
      </c>
      <c r="F41" s="17" t="s">
        <v>352</v>
      </c>
      <c r="G41" s="17">
        <v>-1250</v>
      </c>
    </row>
    <row r="42">
      <c r="A42" s="17">
        <v>41</v>
      </c>
      <c r="B42" s="17" t="s">
        <v>351</v>
      </c>
      <c r="C42" s="17" t="s">
        <v>136</v>
      </c>
      <c r="D42" s="17" t="s">
        <v>352</v>
      </c>
      <c r="E42" s="17" t="s">
        <v>352</v>
      </c>
      <c r="F42" s="17">
        <v>-1250</v>
      </c>
      <c r="G42" s="17" t="s">
        <v>352</v>
      </c>
    </row>
    <row r="43">
      <c r="A43" s="17">
        <v>42</v>
      </c>
      <c r="B43" s="17" t="s">
        <v>353</v>
      </c>
      <c r="C43" s="17" t="s">
        <v>136</v>
      </c>
      <c r="D43" s="17">
        <v>58005913192</v>
      </c>
      <c r="E43" s="17" t="s">
        <v>361</v>
      </c>
      <c r="F43" s="17" t="s">
        <v>352</v>
      </c>
      <c r="G43" s="17">
        <v>-1250</v>
      </c>
    </row>
    <row r="44">
      <c r="A44" s="17">
        <v>43</v>
      </c>
      <c r="B44" s="17" t="s">
        <v>351</v>
      </c>
      <c r="C44" s="17" t="s">
        <v>138</v>
      </c>
      <c r="D44" s="17" t="s">
        <v>352</v>
      </c>
      <c r="E44" s="17" t="s">
        <v>352</v>
      </c>
      <c r="F44" s="17">
        <v>-1250</v>
      </c>
      <c r="G44" s="17" t="s">
        <v>352</v>
      </c>
    </row>
    <row r="45">
      <c r="A45" s="17">
        <v>44</v>
      </c>
      <c r="B45" s="17" t="s">
        <v>353</v>
      </c>
      <c r="C45" s="17" t="s">
        <v>138</v>
      </c>
      <c r="D45" s="17">
        <v>42369673659</v>
      </c>
      <c r="E45" s="17" t="s">
        <v>356</v>
      </c>
      <c r="F45" s="17" t="s">
        <v>352</v>
      </c>
      <c r="G45" s="17">
        <v>-1250</v>
      </c>
    </row>
    <row r="46">
      <c r="A46" s="17">
        <v>45</v>
      </c>
      <c r="B46" s="17" t="s">
        <v>351</v>
      </c>
      <c r="C46" s="17" t="s">
        <v>140</v>
      </c>
      <c r="D46" s="17" t="s">
        <v>352</v>
      </c>
      <c r="E46" s="17" t="s">
        <v>352</v>
      </c>
      <c r="F46" s="17">
        <v>-1250</v>
      </c>
      <c r="G46" s="17" t="s">
        <v>352</v>
      </c>
    </row>
    <row r="47">
      <c r="A47" s="17">
        <v>46</v>
      </c>
      <c r="B47" s="17" t="s">
        <v>353</v>
      </c>
      <c r="C47" s="17" t="s">
        <v>140</v>
      </c>
      <c r="D47" s="17">
        <v>42369673659</v>
      </c>
      <c r="E47" s="17" t="s">
        <v>356</v>
      </c>
      <c r="F47" s="17" t="s">
        <v>352</v>
      </c>
      <c r="G47" s="17">
        <v>-1250</v>
      </c>
    </row>
    <row r="48">
      <c r="A48" s="17">
        <v>47</v>
      </c>
      <c r="B48" s="17" t="s">
        <v>351</v>
      </c>
      <c r="C48" s="17" t="s">
        <v>143</v>
      </c>
      <c r="D48" s="17" t="s">
        <v>352</v>
      </c>
      <c r="E48" s="17" t="s">
        <v>352</v>
      </c>
      <c r="F48" s="17">
        <v>-1250</v>
      </c>
      <c r="G48" s="17" t="s">
        <v>352</v>
      </c>
    </row>
    <row r="49">
      <c r="A49" s="17">
        <v>48</v>
      </c>
      <c r="B49" s="17" t="s">
        <v>353</v>
      </c>
      <c r="C49" s="17" t="s">
        <v>143</v>
      </c>
      <c r="D49" s="17">
        <v>41121568677</v>
      </c>
      <c r="E49" s="17" t="s">
        <v>358</v>
      </c>
      <c r="F49" s="17" t="s">
        <v>352</v>
      </c>
      <c r="G49" s="17">
        <v>-1250</v>
      </c>
    </row>
    <row r="50">
      <c r="A50" s="17">
        <v>49</v>
      </c>
      <c r="B50" s="17" t="s">
        <v>351</v>
      </c>
      <c r="C50" s="17" t="s">
        <v>145</v>
      </c>
      <c r="D50" s="17" t="s">
        <v>352</v>
      </c>
      <c r="E50" s="17" t="s">
        <v>352</v>
      </c>
      <c r="F50" s="17">
        <v>-1250</v>
      </c>
      <c r="G50" s="17" t="s">
        <v>352</v>
      </c>
    </row>
    <row r="51">
      <c r="A51" s="17">
        <v>50</v>
      </c>
      <c r="B51" s="17" t="s">
        <v>353</v>
      </c>
      <c r="C51" s="17" t="s">
        <v>145</v>
      </c>
      <c r="D51" s="17">
        <v>42369673659</v>
      </c>
      <c r="E51" s="17" t="s">
        <v>356</v>
      </c>
      <c r="F51" s="17" t="s">
        <v>352</v>
      </c>
      <c r="G51" s="17">
        <v>-1250</v>
      </c>
    </row>
    <row r="52">
      <c r="A52" s="17">
        <v>51</v>
      </c>
      <c r="B52" s="17" t="s">
        <v>351</v>
      </c>
      <c r="C52" s="17" t="s">
        <v>150</v>
      </c>
      <c r="D52" s="17" t="s">
        <v>352</v>
      </c>
      <c r="E52" s="17" t="s">
        <v>352</v>
      </c>
      <c r="F52" s="17">
        <v>-1250</v>
      </c>
      <c r="G52" s="17" t="s">
        <v>352</v>
      </c>
    </row>
    <row r="53">
      <c r="A53" s="17">
        <v>52</v>
      </c>
      <c r="B53" s="17" t="s">
        <v>353</v>
      </c>
      <c r="C53" s="17" t="s">
        <v>150</v>
      </c>
      <c r="D53" s="17">
        <v>58005005751</v>
      </c>
      <c r="E53" s="17" t="s">
        <v>354</v>
      </c>
      <c r="F53" s="17" t="s">
        <v>352</v>
      </c>
      <c r="G53" s="17">
        <v>-1250</v>
      </c>
    </row>
    <row r="54">
      <c r="A54" s="17">
        <v>53</v>
      </c>
      <c r="B54" s="17" t="s">
        <v>351</v>
      </c>
      <c r="C54" s="17" t="s">
        <v>152</v>
      </c>
      <c r="D54" s="17" t="s">
        <v>352</v>
      </c>
      <c r="E54" s="17" t="s">
        <v>352</v>
      </c>
      <c r="F54" s="17">
        <v>-1250</v>
      </c>
      <c r="G54" s="17" t="s">
        <v>352</v>
      </c>
    </row>
    <row r="55">
      <c r="A55" s="17">
        <v>54</v>
      </c>
      <c r="B55" s="17" t="s">
        <v>353</v>
      </c>
      <c r="C55" s="17" t="s">
        <v>152</v>
      </c>
      <c r="D55" s="17">
        <v>58005005751</v>
      </c>
      <c r="E55" s="17" t="s">
        <v>354</v>
      </c>
      <c r="F55" s="17" t="s">
        <v>352</v>
      </c>
      <c r="G55" s="17">
        <v>-1250</v>
      </c>
    </row>
    <row r="56">
      <c r="A56" s="17">
        <v>55</v>
      </c>
      <c r="B56" s="17" t="s">
        <v>351</v>
      </c>
      <c r="C56" s="17" t="s">
        <v>155</v>
      </c>
      <c r="D56" s="17" t="s">
        <v>352</v>
      </c>
      <c r="E56" s="17" t="s">
        <v>352</v>
      </c>
      <c r="F56" s="17">
        <v>-1250</v>
      </c>
      <c r="G56" s="17" t="s">
        <v>352</v>
      </c>
    </row>
    <row r="57">
      <c r="A57" s="17">
        <v>56</v>
      </c>
      <c r="B57" s="17" t="s">
        <v>353</v>
      </c>
      <c r="C57" s="17" t="s">
        <v>155</v>
      </c>
      <c r="D57" s="17">
        <v>40669679357</v>
      </c>
      <c r="E57" s="17" t="s">
        <v>360</v>
      </c>
      <c r="F57" s="17" t="s">
        <v>352</v>
      </c>
      <c r="G57" s="17">
        <v>-1250</v>
      </c>
    </row>
    <row r="58">
      <c r="A58" s="17">
        <v>57</v>
      </c>
      <c r="B58" s="17" t="s">
        <v>351</v>
      </c>
      <c r="C58" s="17" t="s">
        <v>157</v>
      </c>
      <c r="D58" s="17" t="s">
        <v>352</v>
      </c>
      <c r="E58" s="17" t="s">
        <v>352</v>
      </c>
      <c r="F58" s="17">
        <v>-1250</v>
      </c>
      <c r="G58" s="17" t="s">
        <v>352</v>
      </c>
    </row>
    <row r="59">
      <c r="A59" s="17">
        <v>58</v>
      </c>
      <c r="B59" s="17" t="s">
        <v>353</v>
      </c>
      <c r="C59" s="17" t="s">
        <v>157</v>
      </c>
      <c r="D59" s="17">
        <v>58005005751</v>
      </c>
      <c r="E59" s="17" t="s">
        <v>354</v>
      </c>
      <c r="F59" s="17" t="s">
        <v>352</v>
      </c>
      <c r="G59" s="17">
        <v>-1250</v>
      </c>
    </row>
    <row r="60">
      <c r="A60" s="17">
        <v>59</v>
      </c>
      <c r="B60" s="17" t="s">
        <v>351</v>
      </c>
      <c r="C60" s="17" t="s">
        <v>159</v>
      </c>
      <c r="D60" s="17" t="s">
        <v>352</v>
      </c>
      <c r="E60" s="17" t="s">
        <v>352</v>
      </c>
      <c r="F60" s="17">
        <v>-1250</v>
      </c>
      <c r="G60" s="17" t="s">
        <v>352</v>
      </c>
    </row>
    <row r="61">
      <c r="A61" s="17">
        <v>60</v>
      </c>
      <c r="B61" s="17" t="s">
        <v>353</v>
      </c>
      <c r="C61" s="17" t="s">
        <v>159</v>
      </c>
      <c r="D61" s="17">
        <v>40669679357</v>
      </c>
      <c r="E61" s="17" t="s">
        <v>360</v>
      </c>
      <c r="F61" s="17" t="s">
        <v>352</v>
      </c>
      <c r="G61" s="17">
        <v>-1208</v>
      </c>
    </row>
    <row r="62">
      <c r="A62" s="17">
        <v>61</v>
      </c>
      <c r="B62" s="17" t="s">
        <v>353</v>
      </c>
      <c r="C62" s="17" t="s">
        <v>159</v>
      </c>
      <c r="D62" s="17">
        <v>58005005751</v>
      </c>
      <c r="E62" s="17" t="s">
        <v>354</v>
      </c>
      <c r="F62" s="17" t="s">
        <v>352</v>
      </c>
      <c r="G62" s="17">
        <v>-42</v>
      </c>
    </row>
    <row r="63">
      <c r="A63" s="17">
        <v>62</v>
      </c>
      <c r="B63" s="17" t="s">
        <v>351</v>
      </c>
      <c r="C63" s="17" t="s">
        <v>161</v>
      </c>
      <c r="D63" s="17" t="s">
        <v>352</v>
      </c>
      <c r="E63" s="17" t="s">
        <v>352</v>
      </c>
      <c r="F63" s="17">
        <v>-1250</v>
      </c>
      <c r="G63" s="17" t="s">
        <v>352</v>
      </c>
    </row>
    <row r="64">
      <c r="A64" s="17">
        <v>63</v>
      </c>
      <c r="B64" s="17" t="s">
        <v>353</v>
      </c>
      <c r="C64" s="17" t="s">
        <v>161</v>
      </c>
      <c r="D64" s="17">
        <v>41121568677</v>
      </c>
      <c r="E64" s="17" t="s">
        <v>358</v>
      </c>
      <c r="F64" s="17" t="s">
        <v>352</v>
      </c>
      <c r="G64" s="17">
        <v>-1250</v>
      </c>
    </row>
    <row r="65">
      <c r="A65" s="17">
        <v>64</v>
      </c>
      <c r="B65" s="17" t="s">
        <v>351</v>
      </c>
      <c r="C65" s="17" t="s">
        <v>164</v>
      </c>
      <c r="D65" s="17" t="s">
        <v>352</v>
      </c>
      <c r="E65" s="17" t="s">
        <v>352</v>
      </c>
      <c r="F65" s="17">
        <v>-1250</v>
      </c>
      <c r="G65" s="17" t="s">
        <v>352</v>
      </c>
    </row>
    <row r="66">
      <c r="A66" s="17">
        <v>65</v>
      </c>
      <c r="B66" s="17" t="s">
        <v>353</v>
      </c>
      <c r="C66" s="17" t="s">
        <v>164</v>
      </c>
      <c r="D66" s="17">
        <v>58005005751</v>
      </c>
      <c r="E66" s="17" t="s">
        <v>354</v>
      </c>
      <c r="F66" s="17" t="s">
        <v>352</v>
      </c>
      <c r="G66" s="17">
        <v>-1250</v>
      </c>
    </row>
    <row r="67">
      <c r="A67" s="17">
        <v>66</v>
      </c>
      <c r="B67" s="17" t="s">
        <v>351</v>
      </c>
      <c r="C67" s="17" t="s">
        <v>166</v>
      </c>
      <c r="D67" s="17" t="s">
        <v>352</v>
      </c>
      <c r="E67" s="17" t="s">
        <v>352</v>
      </c>
      <c r="F67" s="17">
        <v>-1250</v>
      </c>
      <c r="G67" s="17" t="s">
        <v>352</v>
      </c>
    </row>
    <row r="68">
      <c r="A68" s="17">
        <v>67</v>
      </c>
      <c r="B68" s="17" t="s">
        <v>353</v>
      </c>
      <c r="C68" s="17" t="s">
        <v>166</v>
      </c>
      <c r="D68" s="17">
        <v>57905455660</v>
      </c>
      <c r="E68" s="17" t="s">
        <v>362</v>
      </c>
      <c r="F68" s="17" t="s">
        <v>352</v>
      </c>
      <c r="G68" s="17">
        <v>-1250</v>
      </c>
    </row>
    <row r="69">
      <c r="A69" s="17">
        <v>68</v>
      </c>
      <c r="B69" s="17" t="s">
        <v>351</v>
      </c>
      <c r="C69" s="17" t="s">
        <v>169</v>
      </c>
      <c r="D69" s="17" t="s">
        <v>352</v>
      </c>
      <c r="E69" s="17" t="s">
        <v>352</v>
      </c>
      <c r="F69" s="17">
        <v>-1250</v>
      </c>
      <c r="G69" s="17" t="s">
        <v>352</v>
      </c>
    </row>
    <row r="70">
      <c r="A70" s="17">
        <v>69</v>
      </c>
      <c r="B70" s="17" t="s">
        <v>353</v>
      </c>
      <c r="C70" s="17" t="s">
        <v>169</v>
      </c>
      <c r="D70" s="17">
        <v>57905455660</v>
      </c>
      <c r="E70" s="17" t="s">
        <v>362</v>
      </c>
      <c r="F70" s="17" t="s">
        <v>352</v>
      </c>
      <c r="G70" s="17">
        <v>-1250</v>
      </c>
    </row>
    <row r="71">
      <c r="A71" s="17">
        <v>70</v>
      </c>
      <c r="B71" s="17" t="s">
        <v>351</v>
      </c>
      <c r="C71" s="17" t="s">
        <v>170</v>
      </c>
      <c r="D71" s="17" t="s">
        <v>352</v>
      </c>
      <c r="E71" s="17" t="s">
        <v>352</v>
      </c>
      <c r="F71" s="17">
        <v>-1250</v>
      </c>
      <c r="G71" s="17" t="s">
        <v>352</v>
      </c>
    </row>
    <row r="72">
      <c r="A72" s="17">
        <v>71</v>
      </c>
      <c r="B72" s="17" t="s">
        <v>353</v>
      </c>
      <c r="C72" s="17" t="s">
        <v>170</v>
      </c>
      <c r="D72" s="17">
        <v>43269639812</v>
      </c>
      <c r="E72" s="17" t="s">
        <v>363</v>
      </c>
      <c r="F72" s="17" t="s">
        <v>352</v>
      </c>
      <c r="G72" s="17">
        <v>-1250</v>
      </c>
    </row>
    <row r="73">
      <c r="A73" s="17">
        <v>72</v>
      </c>
      <c r="B73" s="17" t="s">
        <v>351</v>
      </c>
      <c r="C73" s="17" t="s">
        <v>174</v>
      </c>
      <c r="D73" s="17" t="s">
        <v>352</v>
      </c>
      <c r="E73" s="17" t="s">
        <v>352</v>
      </c>
      <c r="F73" s="17">
        <v>-1250</v>
      </c>
      <c r="G73" s="17" t="s">
        <v>352</v>
      </c>
    </row>
    <row r="74">
      <c r="A74" s="17">
        <v>73</v>
      </c>
      <c r="B74" s="17" t="s">
        <v>353</v>
      </c>
      <c r="C74" s="17" t="s">
        <v>174</v>
      </c>
      <c r="D74" s="17">
        <v>57905455660</v>
      </c>
      <c r="E74" s="17" t="s">
        <v>362</v>
      </c>
      <c r="F74" s="17" t="s">
        <v>352</v>
      </c>
      <c r="G74" s="17">
        <v>-1250</v>
      </c>
    </row>
    <row r="75">
      <c r="A75" s="17">
        <v>74</v>
      </c>
      <c r="B75" s="17" t="s">
        <v>351</v>
      </c>
      <c r="C75" s="17" t="s">
        <v>176</v>
      </c>
      <c r="D75" s="17" t="s">
        <v>352</v>
      </c>
      <c r="E75" s="17" t="s">
        <v>352</v>
      </c>
      <c r="F75" s="17">
        <v>-1250</v>
      </c>
      <c r="G75" s="17" t="s">
        <v>352</v>
      </c>
    </row>
    <row r="76">
      <c r="A76" s="17">
        <v>75</v>
      </c>
      <c r="B76" s="17" t="s">
        <v>353</v>
      </c>
      <c r="C76" s="17" t="s">
        <v>176</v>
      </c>
      <c r="D76" s="17">
        <v>42369673659</v>
      </c>
      <c r="E76" s="17" t="s">
        <v>356</v>
      </c>
      <c r="F76" s="17" t="s">
        <v>352</v>
      </c>
      <c r="G76" s="17">
        <v>-1206</v>
      </c>
    </row>
    <row r="77">
      <c r="A77" s="17">
        <v>76</v>
      </c>
      <c r="B77" s="17" t="s">
        <v>353</v>
      </c>
      <c r="C77" s="17" t="s">
        <v>176</v>
      </c>
      <c r="D77" s="17">
        <v>58005005751</v>
      </c>
      <c r="E77" s="17" t="s">
        <v>354</v>
      </c>
      <c r="F77" s="17" t="s">
        <v>352</v>
      </c>
      <c r="G77" s="17">
        <v>-44</v>
      </c>
    </row>
    <row r="78">
      <c r="A78" s="17">
        <v>77</v>
      </c>
      <c r="B78" s="17" t="s">
        <v>351</v>
      </c>
      <c r="C78" s="17" t="s">
        <v>179</v>
      </c>
      <c r="D78" s="17" t="s">
        <v>352</v>
      </c>
      <c r="E78" s="17" t="s">
        <v>352</v>
      </c>
      <c r="F78" s="17">
        <v>-1250</v>
      </c>
      <c r="G78" s="17" t="s">
        <v>352</v>
      </c>
    </row>
    <row r="79">
      <c r="A79" s="17">
        <v>78</v>
      </c>
      <c r="B79" s="17" t="s">
        <v>353</v>
      </c>
      <c r="C79" s="17" t="s">
        <v>179</v>
      </c>
      <c r="D79" s="17">
        <v>44369634478</v>
      </c>
      <c r="E79" s="17" t="s">
        <v>357</v>
      </c>
      <c r="F79" s="17" t="s">
        <v>352</v>
      </c>
      <c r="G79" s="17">
        <v>-1250</v>
      </c>
    </row>
    <row r="80">
      <c r="A80" s="17">
        <v>79</v>
      </c>
      <c r="B80" s="17" t="s">
        <v>351</v>
      </c>
      <c r="C80" s="17" t="s">
        <v>182</v>
      </c>
      <c r="D80" s="17" t="s">
        <v>352</v>
      </c>
      <c r="E80" s="17" t="s">
        <v>352</v>
      </c>
      <c r="F80" s="17">
        <v>-1250</v>
      </c>
      <c r="G80" s="17" t="s">
        <v>352</v>
      </c>
    </row>
    <row r="81">
      <c r="A81" s="17">
        <v>80</v>
      </c>
      <c r="B81" s="17" t="s">
        <v>353</v>
      </c>
      <c r="C81" s="17" t="s">
        <v>182</v>
      </c>
      <c r="D81" s="17">
        <v>42369673659</v>
      </c>
      <c r="E81" s="17" t="s">
        <v>356</v>
      </c>
      <c r="F81" s="17" t="s">
        <v>352</v>
      </c>
      <c r="G81" s="17">
        <v>-1250</v>
      </c>
    </row>
    <row r="82">
      <c r="A82" s="17">
        <v>81</v>
      </c>
      <c r="B82" s="17" t="s">
        <v>351</v>
      </c>
      <c r="C82" s="17" t="s">
        <v>184</v>
      </c>
      <c r="D82" s="17" t="s">
        <v>352</v>
      </c>
      <c r="E82" s="17" t="s">
        <v>352</v>
      </c>
      <c r="F82" s="17">
        <v>-1250</v>
      </c>
      <c r="G82" s="17" t="s">
        <v>352</v>
      </c>
    </row>
    <row r="83">
      <c r="A83" s="17">
        <v>82</v>
      </c>
      <c r="B83" s="17" t="s">
        <v>353</v>
      </c>
      <c r="C83" s="17" t="s">
        <v>184</v>
      </c>
      <c r="D83" s="17">
        <v>58005005751</v>
      </c>
      <c r="E83" s="17" t="s">
        <v>354</v>
      </c>
      <c r="F83" s="17" t="s">
        <v>352</v>
      </c>
      <c r="G83" s="17">
        <v>-1250</v>
      </c>
    </row>
    <row r="84">
      <c r="A84" s="17">
        <v>83</v>
      </c>
      <c r="B84" s="17" t="s">
        <v>351</v>
      </c>
      <c r="C84" s="17" t="s">
        <v>186</v>
      </c>
      <c r="D84" s="17" t="s">
        <v>352</v>
      </c>
      <c r="E84" s="17" t="s">
        <v>352</v>
      </c>
      <c r="F84" s="17">
        <v>-1250</v>
      </c>
      <c r="G84" s="17" t="s">
        <v>352</v>
      </c>
    </row>
    <row r="85">
      <c r="A85" s="17">
        <v>84</v>
      </c>
      <c r="B85" s="17" t="s">
        <v>353</v>
      </c>
      <c r="C85" s="17" t="s">
        <v>186</v>
      </c>
      <c r="D85" s="17">
        <v>57905455660</v>
      </c>
      <c r="E85" s="17" t="s">
        <v>362</v>
      </c>
      <c r="F85" s="17" t="s">
        <v>352</v>
      </c>
      <c r="G85" s="17">
        <v>-1250</v>
      </c>
    </row>
    <row r="86">
      <c r="A86" s="17">
        <v>85</v>
      </c>
      <c r="B86" s="17" t="s">
        <v>351</v>
      </c>
      <c r="C86" s="17" t="s">
        <v>189</v>
      </c>
      <c r="D86" s="17" t="s">
        <v>352</v>
      </c>
      <c r="E86" s="17" t="s">
        <v>352</v>
      </c>
      <c r="F86" s="17">
        <v>-1250</v>
      </c>
      <c r="G86" s="17" t="s">
        <v>352</v>
      </c>
    </row>
    <row r="87">
      <c r="A87" s="17">
        <v>86</v>
      </c>
      <c r="B87" s="17" t="s">
        <v>353</v>
      </c>
      <c r="C87" s="17" t="s">
        <v>189</v>
      </c>
      <c r="D87" s="17">
        <v>40669679357</v>
      </c>
      <c r="E87" s="17" t="s">
        <v>360</v>
      </c>
      <c r="F87" s="17" t="s">
        <v>352</v>
      </c>
      <c r="G87" s="17">
        <v>-1250</v>
      </c>
    </row>
    <row r="88">
      <c r="A88" s="17">
        <v>87</v>
      </c>
      <c r="B88" s="17" t="s">
        <v>351</v>
      </c>
      <c r="C88" s="17" t="s">
        <v>191</v>
      </c>
      <c r="D88" s="17" t="s">
        <v>352</v>
      </c>
      <c r="E88" s="17" t="s">
        <v>352</v>
      </c>
      <c r="F88" s="17">
        <v>-1250</v>
      </c>
      <c r="G88" s="17" t="s">
        <v>352</v>
      </c>
    </row>
    <row r="89">
      <c r="A89" s="17">
        <v>88</v>
      </c>
      <c r="B89" s="17" t="s">
        <v>353</v>
      </c>
      <c r="C89" s="17" t="s">
        <v>191</v>
      </c>
      <c r="D89" s="17">
        <v>51155610791</v>
      </c>
      <c r="E89" s="17" t="s">
        <v>359</v>
      </c>
      <c r="F89" s="17" t="s">
        <v>352</v>
      </c>
      <c r="G89" s="17">
        <v>-1199</v>
      </c>
    </row>
    <row r="90">
      <c r="A90" s="17">
        <v>89</v>
      </c>
      <c r="B90" s="17" t="s">
        <v>353</v>
      </c>
      <c r="C90" s="17" t="s">
        <v>191</v>
      </c>
      <c r="D90" s="17">
        <v>58005005751</v>
      </c>
      <c r="E90" s="17" t="s">
        <v>354</v>
      </c>
      <c r="F90" s="17" t="s">
        <v>352</v>
      </c>
      <c r="G90" s="17">
        <v>-35</v>
      </c>
    </row>
    <row r="91">
      <c r="A91" s="17">
        <v>90</v>
      </c>
      <c r="B91" s="17" t="s">
        <v>353</v>
      </c>
      <c r="C91" s="17" t="s">
        <v>191</v>
      </c>
      <c r="D91" s="17">
        <v>58005913192</v>
      </c>
      <c r="E91" s="17" t="s">
        <v>361</v>
      </c>
      <c r="F91" s="17" t="s">
        <v>352</v>
      </c>
      <c r="G91" s="17">
        <v>-16</v>
      </c>
    </row>
    <row r="92">
      <c r="A92" s="17">
        <v>91</v>
      </c>
      <c r="B92" s="17" t="s">
        <v>351</v>
      </c>
      <c r="C92" s="17" t="s">
        <v>193</v>
      </c>
      <c r="D92" s="17" t="s">
        <v>352</v>
      </c>
      <c r="E92" s="17" t="s">
        <v>352</v>
      </c>
      <c r="F92" s="17">
        <v>-1250</v>
      </c>
      <c r="G92" s="17" t="s">
        <v>352</v>
      </c>
    </row>
    <row r="93">
      <c r="A93" s="17">
        <v>92</v>
      </c>
      <c r="B93" s="17" t="s">
        <v>353</v>
      </c>
      <c r="C93" s="17" t="s">
        <v>193</v>
      </c>
      <c r="D93" s="17">
        <v>58005005751</v>
      </c>
      <c r="E93" s="17" t="s">
        <v>354</v>
      </c>
      <c r="F93" s="17" t="s">
        <v>352</v>
      </c>
      <c r="G93" s="17">
        <v>-1250</v>
      </c>
    </row>
    <row r="94">
      <c r="A94" s="17">
        <v>93</v>
      </c>
      <c r="B94" s="17" t="s">
        <v>351</v>
      </c>
      <c r="C94" s="17" t="s">
        <v>195</v>
      </c>
      <c r="D94" s="17" t="s">
        <v>352</v>
      </c>
      <c r="E94" s="17" t="s">
        <v>352</v>
      </c>
      <c r="F94" s="17">
        <v>-1250</v>
      </c>
      <c r="G94" s="17" t="s">
        <v>352</v>
      </c>
    </row>
    <row r="95">
      <c r="A95" s="17">
        <v>94</v>
      </c>
      <c r="B95" s="17" t="s">
        <v>353</v>
      </c>
      <c r="C95" s="17" t="s">
        <v>195</v>
      </c>
      <c r="D95" s="17">
        <v>57905455660</v>
      </c>
      <c r="E95" s="17" t="s">
        <v>362</v>
      </c>
      <c r="F95" s="17" t="s">
        <v>352</v>
      </c>
      <c r="G95" s="17">
        <v>-1250</v>
      </c>
    </row>
    <row r="96">
      <c r="A96" s="17">
        <v>95</v>
      </c>
      <c r="B96" s="17" t="s">
        <v>351</v>
      </c>
      <c r="C96" s="17" t="s">
        <v>197</v>
      </c>
      <c r="D96" s="17" t="s">
        <v>352</v>
      </c>
      <c r="E96" s="17" t="s">
        <v>352</v>
      </c>
      <c r="F96" s="17">
        <v>-1250</v>
      </c>
      <c r="G96" s="17" t="s">
        <v>352</v>
      </c>
    </row>
    <row r="97">
      <c r="A97" s="17">
        <v>96</v>
      </c>
      <c r="B97" s="17" t="s">
        <v>353</v>
      </c>
      <c r="C97" s="17" t="s">
        <v>197</v>
      </c>
      <c r="D97" s="17">
        <v>40669679357</v>
      </c>
      <c r="E97" s="17" t="s">
        <v>360</v>
      </c>
      <c r="F97" s="17" t="s">
        <v>352</v>
      </c>
      <c r="G97" s="17">
        <v>-1250</v>
      </c>
    </row>
    <row r="98">
      <c r="A98" s="17">
        <v>97</v>
      </c>
      <c r="B98" s="17" t="s">
        <v>351</v>
      </c>
      <c r="C98" s="17" t="s">
        <v>199</v>
      </c>
      <c r="D98" s="17" t="s">
        <v>352</v>
      </c>
      <c r="E98" s="17" t="s">
        <v>352</v>
      </c>
      <c r="F98" s="17">
        <v>-1250</v>
      </c>
      <c r="G98" s="17" t="s">
        <v>352</v>
      </c>
    </row>
    <row r="99">
      <c r="A99" s="17">
        <v>98</v>
      </c>
      <c r="B99" s="17" t="s">
        <v>353</v>
      </c>
      <c r="C99" s="17" t="s">
        <v>199</v>
      </c>
      <c r="D99" s="17">
        <v>58005005751</v>
      </c>
      <c r="E99" s="17" t="s">
        <v>354</v>
      </c>
      <c r="F99" s="17" t="s">
        <v>352</v>
      </c>
      <c r="G99" s="17">
        <v>-1250</v>
      </c>
    </row>
    <row r="100">
      <c r="A100" s="17">
        <v>99</v>
      </c>
      <c r="B100" s="17" t="s">
        <v>351</v>
      </c>
      <c r="C100" s="17" t="s">
        <v>204</v>
      </c>
      <c r="D100" s="17" t="s">
        <v>352</v>
      </c>
      <c r="E100" s="17" t="s">
        <v>352</v>
      </c>
      <c r="F100" s="17">
        <v>-1250</v>
      </c>
      <c r="G100" s="17" t="s">
        <v>352</v>
      </c>
    </row>
    <row r="101">
      <c r="A101" s="17">
        <v>100</v>
      </c>
      <c r="B101" s="17" t="s">
        <v>353</v>
      </c>
      <c r="C101" s="17" t="s">
        <v>204</v>
      </c>
      <c r="D101" s="17">
        <v>55104943929</v>
      </c>
      <c r="E101" s="17" t="s">
        <v>364</v>
      </c>
      <c r="F101" s="17" t="s">
        <v>352</v>
      </c>
      <c r="G101" s="17">
        <v>-1250</v>
      </c>
    </row>
    <row r="102">
      <c r="A102" s="17">
        <v>101</v>
      </c>
      <c r="B102" s="17" t="s">
        <v>351</v>
      </c>
      <c r="C102" s="17" t="s">
        <v>207</v>
      </c>
      <c r="D102" s="17" t="s">
        <v>352</v>
      </c>
      <c r="E102" s="17" t="s">
        <v>352</v>
      </c>
      <c r="F102" s="17">
        <v>-1250</v>
      </c>
      <c r="G102" s="17" t="s">
        <v>352</v>
      </c>
    </row>
    <row r="103">
      <c r="A103" s="17">
        <v>102</v>
      </c>
      <c r="B103" s="17" t="s">
        <v>353</v>
      </c>
      <c r="C103" s="17" t="s">
        <v>207</v>
      </c>
      <c r="D103" s="17">
        <v>40669679357</v>
      </c>
      <c r="E103" s="17" t="s">
        <v>360</v>
      </c>
      <c r="F103" s="17" t="s">
        <v>352</v>
      </c>
      <c r="G103" s="17">
        <v>-1250</v>
      </c>
    </row>
    <row r="104">
      <c r="A104" s="17">
        <v>103</v>
      </c>
      <c r="B104" s="17" t="s">
        <v>351</v>
      </c>
      <c r="C104" s="17" t="s">
        <v>209</v>
      </c>
      <c r="D104" s="17" t="s">
        <v>352</v>
      </c>
      <c r="E104" s="17" t="s">
        <v>352</v>
      </c>
      <c r="F104" s="17">
        <v>-1250</v>
      </c>
      <c r="G104" s="17" t="s">
        <v>352</v>
      </c>
    </row>
    <row r="105">
      <c r="A105" s="17">
        <v>104</v>
      </c>
      <c r="B105" s="17" t="s">
        <v>353</v>
      </c>
      <c r="C105" s="17" t="s">
        <v>209</v>
      </c>
      <c r="D105" s="17">
        <v>42369673659</v>
      </c>
      <c r="E105" s="17" t="s">
        <v>356</v>
      </c>
      <c r="F105" s="17" t="s">
        <v>352</v>
      </c>
      <c r="G105" s="17">
        <v>-1250</v>
      </c>
    </row>
    <row r="106">
      <c r="A106" s="17">
        <v>105</v>
      </c>
      <c r="B106" s="17" t="s">
        <v>351</v>
      </c>
      <c r="C106" s="17" t="s">
        <v>212</v>
      </c>
      <c r="D106" s="17" t="s">
        <v>352</v>
      </c>
      <c r="E106" s="17" t="s">
        <v>352</v>
      </c>
      <c r="F106" s="17">
        <v>-1250</v>
      </c>
      <c r="G106" s="17" t="s">
        <v>352</v>
      </c>
    </row>
    <row r="107">
      <c r="A107" s="17">
        <v>106</v>
      </c>
      <c r="B107" s="17" t="s">
        <v>353</v>
      </c>
      <c r="C107" s="17" t="s">
        <v>212</v>
      </c>
      <c r="D107" s="17">
        <v>42369673659</v>
      </c>
      <c r="E107" s="17" t="s">
        <v>356</v>
      </c>
      <c r="F107" s="17" t="s">
        <v>352</v>
      </c>
      <c r="G107" s="17">
        <v>-1250</v>
      </c>
    </row>
    <row r="108">
      <c r="A108" s="17">
        <v>107</v>
      </c>
      <c r="B108" s="17" t="s">
        <v>351</v>
      </c>
      <c r="C108" s="17" t="s">
        <v>214</v>
      </c>
      <c r="D108" s="17" t="s">
        <v>352</v>
      </c>
      <c r="E108" s="17" t="s">
        <v>352</v>
      </c>
      <c r="F108" s="17">
        <v>-1250</v>
      </c>
      <c r="G108" s="17" t="s">
        <v>352</v>
      </c>
    </row>
    <row r="109">
      <c r="A109" s="17">
        <v>108</v>
      </c>
      <c r="B109" s="17" t="s">
        <v>353</v>
      </c>
      <c r="C109" s="17" t="s">
        <v>214</v>
      </c>
      <c r="D109" s="17">
        <v>58005005751</v>
      </c>
      <c r="E109" s="17" t="s">
        <v>354</v>
      </c>
      <c r="F109" s="17" t="s">
        <v>352</v>
      </c>
      <c r="G109" s="17">
        <v>-1250</v>
      </c>
    </row>
    <row r="110">
      <c r="A110" s="17">
        <v>109</v>
      </c>
      <c r="B110" s="17" t="s">
        <v>351</v>
      </c>
      <c r="C110" s="17" t="s">
        <v>216</v>
      </c>
      <c r="D110" s="17" t="s">
        <v>352</v>
      </c>
      <c r="E110" s="17" t="s">
        <v>352</v>
      </c>
      <c r="F110" s="17">
        <v>-1250</v>
      </c>
      <c r="G110" s="17" t="s">
        <v>352</v>
      </c>
    </row>
    <row r="111">
      <c r="A111" s="17">
        <v>110</v>
      </c>
      <c r="B111" s="17" t="s">
        <v>353</v>
      </c>
      <c r="C111" s="17" t="s">
        <v>216</v>
      </c>
      <c r="D111" s="17">
        <v>51155610791</v>
      </c>
      <c r="E111" s="17" t="s">
        <v>359</v>
      </c>
      <c r="F111" s="17" t="s">
        <v>352</v>
      </c>
      <c r="G111" s="17">
        <v>-1250</v>
      </c>
    </row>
    <row r="112">
      <c r="A112" s="17">
        <v>111</v>
      </c>
      <c r="B112" s="17" t="s">
        <v>351</v>
      </c>
      <c r="C112" s="17" t="s">
        <v>218</v>
      </c>
      <c r="D112" s="17" t="s">
        <v>352</v>
      </c>
      <c r="E112" s="17" t="s">
        <v>352</v>
      </c>
      <c r="F112" s="17">
        <v>-1250</v>
      </c>
      <c r="G112" s="17" t="s">
        <v>352</v>
      </c>
    </row>
    <row r="113">
      <c r="A113" s="17">
        <v>112</v>
      </c>
      <c r="B113" s="17" t="s">
        <v>353</v>
      </c>
      <c r="C113" s="17" t="s">
        <v>218</v>
      </c>
      <c r="D113" s="17">
        <v>55104943929</v>
      </c>
      <c r="E113" s="17" t="s">
        <v>364</v>
      </c>
      <c r="F113" s="17" t="s">
        <v>352</v>
      </c>
      <c r="G113" s="17">
        <v>-1206</v>
      </c>
    </row>
    <row r="114">
      <c r="A114" s="17">
        <v>113</v>
      </c>
      <c r="B114" s="17" t="s">
        <v>353</v>
      </c>
      <c r="C114" s="17" t="s">
        <v>218</v>
      </c>
      <c r="D114" s="17">
        <v>58005005751</v>
      </c>
      <c r="E114" s="17" t="s">
        <v>354</v>
      </c>
      <c r="F114" s="17" t="s">
        <v>352</v>
      </c>
      <c r="G114" s="17">
        <v>-44</v>
      </c>
    </row>
    <row r="115">
      <c r="A115" s="17">
        <v>114</v>
      </c>
      <c r="B115" s="17" t="s">
        <v>351</v>
      </c>
      <c r="C115" s="17" t="s">
        <v>221</v>
      </c>
      <c r="D115" s="17" t="s">
        <v>352</v>
      </c>
      <c r="E115" s="17" t="s">
        <v>352</v>
      </c>
      <c r="F115" s="17">
        <v>-1250</v>
      </c>
      <c r="G115" s="17" t="s">
        <v>352</v>
      </c>
    </row>
    <row r="116">
      <c r="A116" s="17">
        <v>115</v>
      </c>
      <c r="B116" s="17" t="s">
        <v>353</v>
      </c>
      <c r="C116" s="17" t="s">
        <v>221</v>
      </c>
      <c r="D116" s="17">
        <v>51155610791</v>
      </c>
      <c r="E116" s="17" t="s">
        <v>359</v>
      </c>
      <c r="F116" s="17" t="s">
        <v>352</v>
      </c>
      <c r="G116" s="17">
        <v>-1250</v>
      </c>
    </row>
    <row r="117">
      <c r="A117" s="17">
        <v>116</v>
      </c>
      <c r="B117" s="17" t="s">
        <v>351</v>
      </c>
      <c r="C117" s="17" t="s">
        <v>225</v>
      </c>
      <c r="D117" s="17" t="s">
        <v>352</v>
      </c>
      <c r="E117" s="17" t="s">
        <v>352</v>
      </c>
      <c r="F117" s="17">
        <v>-1250</v>
      </c>
      <c r="G117" s="17" t="s">
        <v>352</v>
      </c>
    </row>
    <row r="118">
      <c r="A118" s="17">
        <v>117</v>
      </c>
      <c r="B118" s="17" t="s">
        <v>353</v>
      </c>
      <c r="C118" s="17" t="s">
        <v>225</v>
      </c>
      <c r="D118" s="17">
        <v>51155610791</v>
      </c>
      <c r="E118" s="17" t="s">
        <v>359</v>
      </c>
      <c r="F118" s="17" t="s">
        <v>352</v>
      </c>
      <c r="G118" s="17">
        <v>-1131</v>
      </c>
    </row>
    <row r="119">
      <c r="A119" s="17">
        <v>118</v>
      </c>
      <c r="B119" s="17" t="s">
        <v>353</v>
      </c>
      <c r="C119" s="17" t="s">
        <v>225</v>
      </c>
      <c r="D119" s="17">
        <v>57905455660</v>
      </c>
      <c r="E119" s="17" t="s">
        <v>362</v>
      </c>
      <c r="F119" s="17" t="s">
        <v>352</v>
      </c>
      <c r="G119" s="17">
        <v>-119</v>
      </c>
    </row>
    <row r="120">
      <c r="A120" s="17">
        <v>119</v>
      </c>
      <c r="B120" s="17" t="s">
        <v>351</v>
      </c>
      <c r="C120" s="17" t="s">
        <v>227</v>
      </c>
      <c r="D120" s="17" t="s">
        <v>352</v>
      </c>
      <c r="E120" s="17" t="s">
        <v>352</v>
      </c>
      <c r="F120" s="17">
        <v>-1250</v>
      </c>
      <c r="G120" s="17" t="s">
        <v>352</v>
      </c>
    </row>
    <row r="121">
      <c r="A121" s="17">
        <v>120</v>
      </c>
      <c r="B121" s="17" t="s">
        <v>353</v>
      </c>
      <c r="C121" s="17" t="s">
        <v>227</v>
      </c>
      <c r="D121" s="17">
        <v>46805480416</v>
      </c>
      <c r="E121" s="17" t="s">
        <v>365</v>
      </c>
      <c r="F121" s="17" t="s">
        <v>352</v>
      </c>
      <c r="G121" s="17">
        <v>-1250</v>
      </c>
    </row>
    <row r="122">
      <c r="A122" s="17">
        <v>121</v>
      </c>
      <c r="B122" s="17" t="s">
        <v>351</v>
      </c>
      <c r="C122" s="17" t="s">
        <v>229</v>
      </c>
      <c r="D122" s="17" t="s">
        <v>352</v>
      </c>
      <c r="E122" s="17" t="s">
        <v>352</v>
      </c>
      <c r="F122" s="17">
        <v>-1250</v>
      </c>
      <c r="G122" s="17" t="s">
        <v>352</v>
      </c>
    </row>
    <row r="123">
      <c r="A123" s="17">
        <v>122</v>
      </c>
      <c r="B123" s="17" t="s">
        <v>353</v>
      </c>
      <c r="C123" s="17" t="s">
        <v>229</v>
      </c>
      <c r="D123" s="17">
        <v>44369634478</v>
      </c>
      <c r="E123" s="17" t="s">
        <v>357</v>
      </c>
      <c r="F123" s="17" t="s">
        <v>352</v>
      </c>
      <c r="G123" s="17">
        <v>-1230</v>
      </c>
    </row>
    <row r="124">
      <c r="A124" s="17">
        <v>123</v>
      </c>
      <c r="B124" s="17" t="s">
        <v>353</v>
      </c>
      <c r="C124" s="17" t="s">
        <v>229</v>
      </c>
      <c r="D124" s="17">
        <v>58005005751</v>
      </c>
      <c r="E124" s="17" t="s">
        <v>354</v>
      </c>
      <c r="F124" s="17" t="s">
        <v>352</v>
      </c>
      <c r="G124" s="17">
        <v>-20</v>
      </c>
    </row>
    <row r="125">
      <c r="A125" s="17">
        <v>124</v>
      </c>
      <c r="B125" s="17" t="s">
        <v>351</v>
      </c>
      <c r="C125" s="17" t="s">
        <v>231</v>
      </c>
      <c r="D125" s="17" t="s">
        <v>352</v>
      </c>
      <c r="E125" s="17" t="s">
        <v>352</v>
      </c>
      <c r="F125" s="17">
        <v>-1250</v>
      </c>
      <c r="G125" s="17" t="s">
        <v>352</v>
      </c>
    </row>
    <row r="126">
      <c r="A126" s="17">
        <v>125</v>
      </c>
      <c r="B126" s="17" t="s">
        <v>353</v>
      </c>
      <c r="C126" s="17" t="s">
        <v>231</v>
      </c>
      <c r="D126" s="17">
        <v>57905455660</v>
      </c>
      <c r="E126" s="17" t="s">
        <v>362</v>
      </c>
      <c r="F126" s="17" t="s">
        <v>352</v>
      </c>
      <c r="G126" s="17">
        <v>-1250</v>
      </c>
    </row>
    <row r="127">
      <c r="A127" s="17">
        <v>126</v>
      </c>
      <c r="B127" s="17" t="s">
        <v>351</v>
      </c>
      <c r="C127" s="17" t="s">
        <v>233</v>
      </c>
      <c r="D127" s="17" t="s">
        <v>352</v>
      </c>
      <c r="E127" s="17" t="s">
        <v>352</v>
      </c>
      <c r="F127" s="17">
        <v>-1250</v>
      </c>
      <c r="G127" s="17" t="s">
        <v>352</v>
      </c>
    </row>
    <row r="128">
      <c r="A128" s="17">
        <v>127</v>
      </c>
      <c r="B128" s="17" t="s">
        <v>353</v>
      </c>
      <c r="C128" s="17" t="s">
        <v>233</v>
      </c>
      <c r="D128" s="17">
        <v>55104943929</v>
      </c>
      <c r="E128" s="17" t="s">
        <v>364</v>
      </c>
      <c r="F128" s="17" t="s">
        <v>352</v>
      </c>
      <c r="G128" s="17">
        <v>-1104</v>
      </c>
    </row>
    <row r="129">
      <c r="A129" s="17">
        <v>128</v>
      </c>
      <c r="B129" s="17" t="s">
        <v>353</v>
      </c>
      <c r="C129" s="17" t="s">
        <v>233</v>
      </c>
      <c r="D129" s="17">
        <v>57905455660</v>
      </c>
      <c r="E129" s="17" t="s">
        <v>362</v>
      </c>
      <c r="F129" s="17" t="s">
        <v>352</v>
      </c>
      <c r="G129" s="17">
        <v>-146</v>
      </c>
    </row>
    <row r="130">
      <c r="A130" s="17">
        <v>129</v>
      </c>
      <c r="B130" s="17" t="s">
        <v>351</v>
      </c>
      <c r="C130" s="17" t="s">
        <v>235</v>
      </c>
      <c r="D130" s="17" t="s">
        <v>352</v>
      </c>
      <c r="E130" s="17" t="s">
        <v>352</v>
      </c>
      <c r="F130" s="17">
        <v>-1250</v>
      </c>
      <c r="G130" s="17" t="s">
        <v>352</v>
      </c>
    </row>
    <row r="131">
      <c r="A131" s="17">
        <v>130</v>
      </c>
      <c r="B131" s="17" t="s">
        <v>353</v>
      </c>
      <c r="C131" s="17" t="s">
        <v>235</v>
      </c>
      <c r="D131" s="17">
        <v>42369673659</v>
      </c>
      <c r="E131" s="17" t="s">
        <v>356</v>
      </c>
      <c r="F131" s="17" t="s">
        <v>352</v>
      </c>
      <c r="G131" s="17">
        <v>-1250</v>
      </c>
    </row>
    <row r="132">
      <c r="A132" s="17">
        <v>131</v>
      </c>
      <c r="B132" s="17" t="s">
        <v>351</v>
      </c>
      <c r="C132" s="17" t="s">
        <v>238</v>
      </c>
      <c r="D132" s="17" t="s">
        <v>352</v>
      </c>
      <c r="E132" s="17" t="s">
        <v>352</v>
      </c>
      <c r="F132" s="17">
        <v>-1250</v>
      </c>
      <c r="G132" s="17" t="s">
        <v>352</v>
      </c>
    </row>
    <row r="133">
      <c r="A133" s="17">
        <v>132</v>
      </c>
      <c r="B133" s="17" t="s">
        <v>353</v>
      </c>
      <c r="C133" s="17" t="s">
        <v>238</v>
      </c>
      <c r="D133" s="17">
        <v>58005005751</v>
      </c>
      <c r="E133" s="17" t="s">
        <v>354</v>
      </c>
      <c r="F133" s="17" t="s">
        <v>352</v>
      </c>
      <c r="G133" s="17">
        <v>-1250</v>
      </c>
    </row>
    <row r="134">
      <c r="A134" s="17">
        <v>133</v>
      </c>
      <c r="B134" s="17" t="s">
        <v>351</v>
      </c>
      <c r="C134" s="17" t="s">
        <v>239</v>
      </c>
      <c r="D134" s="17" t="s">
        <v>352</v>
      </c>
      <c r="E134" s="17" t="s">
        <v>352</v>
      </c>
      <c r="F134" s="17">
        <v>-1250</v>
      </c>
      <c r="G134" s="17" t="s">
        <v>352</v>
      </c>
    </row>
    <row r="135">
      <c r="A135" s="17">
        <v>134</v>
      </c>
      <c r="B135" s="17" t="s">
        <v>353</v>
      </c>
      <c r="C135" s="17" t="s">
        <v>239</v>
      </c>
      <c r="D135" s="17">
        <v>44369634478</v>
      </c>
      <c r="E135" s="17" t="s">
        <v>357</v>
      </c>
      <c r="F135" s="17" t="s">
        <v>352</v>
      </c>
      <c r="G135" s="17">
        <v>-1250</v>
      </c>
    </row>
    <row r="136">
      <c r="A136" s="17">
        <v>135</v>
      </c>
      <c r="B136" s="17" t="s">
        <v>351</v>
      </c>
      <c r="C136" s="17" t="s">
        <v>241</v>
      </c>
      <c r="D136" s="17" t="s">
        <v>352</v>
      </c>
      <c r="E136" s="17" t="s">
        <v>352</v>
      </c>
      <c r="F136" s="17">
        <v>-1250</v>
      </c>
      <c r="G136" s="17" t="s">
        <v>352</v>
      </c>
    </row>
    <row r="137">
      <c r="A137" s="17">
        <v>136</v>
      </c>
      <c r="B137" s="17" t="s">
        <v>353</v>
      </c>
      <c r="C137" s="17" t="s">
        <v>241</v>
      </c>
      <c r="D137" s="17">
        <v>40669679357</v>
      </c>
      <c r="E137" s="17" t="s">
        <v>360</v>
      </c>
      <c r="F137" s="17" t="s">
        <v>352</v>
      </c>
      <c r="G137" s="17">
        <v>-1250</v>
      </c>
    </row>
    <row r="138">
      <c r="A138" s="17">
        <v>137</v>
      </c>
      <c r="B138" s="17" t="s">
        <v>351</v>
      </c>
      <c r="C138" s="17" t="s">
        <v>243</v>
      </c>
      <c r="D138" s="17" t="s">
        <v>352</v>
      </c>
      <c r="E138" s="17" t="s">
        <v>352</v>
      </c>
      <c r="F138" s="17">
        <v>-1250</v>
      </c>
      <c r="G138" s="17" t="s">
        <v>352</v>
      </c>
    </row>
    <row r="139">
      <c r="A139" s="17">
        <v>138</v>
      </c>
      <c r="B139" s="17" t="s">
        <v>353</v>
      </c>
      <c r="C139" s="17" t="s">
        <v>243</v>
      </c>
      <c r="D139" s="17">
        <v>57905455660</v>
      </c>
      <c r="E139" s="17" t="s">
        <v>362</v>
      </c>
      <c r="F139" s="17" t="s">
        <v>352</v>
      </c>
      <c r="G139" s="17">
        <v>-1250</v>
      </c>
    </row>
    <row r="140">
      <c r="A140" s="17">
        <v>139</v>
      </c>
      <c r="B140" s="17" t="s">
        <v>351</v>
      </c>
      <c r="C140" s="17" t="s">
        <v>247</v>
      </c>
      <c r="D140" s="17" t="s">
        <v>352</v>
      </c>
      <c r="E140" s="17" t="s">
        <v>352</v>
      </c>
      <c r="F140" s="17">
        <v>-1250</v>
      </c>
      <c r="G140" s="17" t="s">
        <v>352</v>
      </c>
    </row>
    <row r="141">
      <c r="A141" s="17">
        <v>140</v>
      </c>
      <c r="B141" s="17" t="s">
        <v>353</v>
      </c>
      <c r="C141" s="17" t="s">
        <v>247</v>
      </c>
      <c r="D141" s="17">
        <v>58005005751</v>
      </c>
      <c r="E141" s="17" t="s">
        <v>354</v>
      </c>
      <c r="F141" s="17" t="s">
        <v>352</v>
      </c>
      <c r="G141" s="17">
        <v>-1250</v>
      </c>
    </row>
    <row r="142">
      <c r="A142" s="17">
        <v>141</v>
      </c>
      <c r="B142" s="17" t="s">
        <v>351</v>
      </c>
      <c r="C142" s="17" t="s">
        <v>249</v>
      </c>
      <c r="D142" s="17" t="s">
        <v>352</v>
      </c>
      <c r="E142" s="17" t="s">
        <v>352</v>
      </c>
      <c r="F142" s="17">
        <v>-1250</v>
      </c>
      <c r="G142" s="17" t="s">
        <v>352</v>
      </c>
    </row>
    <row r="143">
      <c r="A143" s="17">
        <v>142</v>
      </c>
      <c r="B143" s="17" t="s">
        <v>353</v>
      </c>
      <c r="C143" s="17" t="s">
        <v>249</v>
      </c>
      <c r="D143" s="17">
        <v>58005005751</v>
      </c>
      <c r="E143" s="17" t="s">
        <v>354</v>
      </c>
      <c r="F143" s="17" t="s">
        <v>352</v>
      </c>
      <c r="G143" s="17">
        <v>-1250</v>
      </c>
    </row>
    <row r="144">
      <c r="A144" s="17">
        <v>143</v>
      </c>
      <c r="B144" s="17" t="s">
        <v>351</v>
      </c>
      <c r="C144" s="17" t="s">
        <v>252</v>
      </c>
      <c r="D144" s="17" t="s">
        <v>352</v>
      </c>
      <c r="E144" s="17" t="s">
        <v>352</v>
      </c>
      <c r="F144" s="17">
        <v>-1250</v>
      </c>
      <c r="G144" s="17" t="s">
        <v>352</v>
      </c>
    </row>
    <row r="145">
      <c r="A145" s="17">
        <v>144</v>
      </c>
      <c r="B145" s="17" t="s">
        <v>353</v>
      </c>
      <c r="C145" s="17" t="s">
        <v>252</v>
      </c>
      <c r="D145" s="17">
        <v>57905455660</v>
      </c>
      <c r="E145" s="17" t="s">
        <v>362</v>
      </c>
      <c r="F145" s="17" t="s">
        <v>352</v>
      </c>
      <c r="G145" s="17">
        <v>-1250</v>
      </c>
    </row>
    <row r="146">
      <c r="A146" s="17">
        <v>145</v>
      </c>
      <c r="B146" s="17" t="s">
        <v>351</v>
      </c>
      <c r="C146" s="17" t="s">
        <v>254</v>
      </c>
      <c r="D146" s="17" t="s">
        <v>352</v>
      </c>
      <c r="E146" s="17" t="s">
        <v>352</v>
      </c>
      <c r="F146" s="17">
        <v>-1250</v>
      </c>
      <c r="G146" s="17" t="s">
        <v>352</v>
      </c>
    </row>
    <row r="147">
      <c r="A147" s="17">
        <v>146</v>
      </c>
      <c r="B147" s="17" t="s">
        <v>353</v>
      </c>
      <c r="C147" s="17" t="s">
        <v>254</v>
      </c>
      <c r="D147" s="17">
        <v>41121568677</v>
      </c>
      <c r="E147" s="17" t="s">
        <v>358</v>
      </c>
      <c r="F147" s="17" t="s">
        <v>352</v>
      </c>
      <c r="G147" s="17">
        <v>-1250</v>
      </c>
    </row>
    <row r="148">
      <c r="A148" s="17">
        <v>147</v>
      </c>
      <c r="B148" s="17" t="s">
        <v>351</v>
      </c>
      <c r="C148" s="17" t="s">
        <v>256</v>
      </c>
      <c r="D148" s="17" t="s">
        <v>352</v>
      </c>
      <c r="E148" s="17" t="s">
        <v>352</v>
      </c>
      <c r="F148" s="17">
        <v>-1250</v>
      </c>
      <c r="G148" s="17" t="s">
        <v>352</v>
      </c>
    </row>
    <row r="149">
      <c r="A149" s="17">
        <v>148</v>
      </c>
      <c r="B149" s="17" t="s">
        <v>353</v>
      </c>
      <c r="C149" s="17" t="s">
        <v>256</v>
      </c>
      <c r="D149" s="17">
        <v>57905455660</v>
      </c>
      <c r="E149" s="17" t="s">
        <v>362</v>
      </c>
      <c r="F149" s="17" t="s">
        <v>352</v>
      </c>
      <c r="G149" s="17">
        <v>-1250</v>
      </c>
    </row>
    <row r="150">
      <c r="A150" s="17">
        <v>149</v>
      </c>
      <c r="B150" s="17" t="s">
        <v>351</v>
      </c>
      <c r="C150" s="17" t="s">
        <v>258</v>
      </c>
      <c r="D150" s="17" t="s">
        <v>352</v>
      </c>
      <c r="E150" s="17" t="s">
        <v>352</v>
      </c>
      <c r="F150" s="17">
        <v>-1250</v>
      </c>
      <c r="G150" s="17" t="s">
        <v>352</v>
      </c>
    </row>
    <row r="151">
      <c r="A151" s="17">
        <v>150</v>
      </c>
      <c r="B151" s="17" t="s">
        <v>353</v>
      </c>
      <c r="C151" s="17" t="s">
        <v>258</v>
      </c>
      <c r="D151" s="17">
        <v>41121568677</v>
      </c>
      <c r="E151" s="17" t="s">
        <v>358</v>
      </c>
      <c r="F151" s="17" t="s">
        <v>352</v>
      </c>
      <c r="G151" s="17">
        <v>-1250</v>
      </c>
    </row>
    <row r="152">
      <c r="A152" s="17">
        <v>151</v>
      </c>
      <c r="B152" s="17" t="s">
        <v>351</v>
      </c>
      <c r="C152" s="17" t="s">
        <v>261</v>
      </c>
      <c r="D152" s="17" t="s">
        <v>352</v>
      </c>
      <c r="E152" s="17" t="s">
        <v>352</v>
      </c>
      <c r="F152" s="17">
        <v>-1250</v>
      </c>
      <c r="G152" s="17" t="s">
        <v>352</v>
      </c>
    </row>
    <row r="153">
      <c r="A153" s="17">
        <v>152</v>
      </c>
      <c r="B153" s="17" t="s">
        <v>353</v>
      </c>
      <c r="C153" s="17" t="s">
        <v>261</v>
      </c>
      <c r="D153" s="17">
        <v>44369634478</v>
      </c>
      <c r="E153" s="17" t="s">
        <v>357</v>
      </c>
      <c r="F153" s="17" t="s">
        <v>352</v>
      </c>
      <c r="G153" s="17">
        <v>-1250</v>
      </c>
    </row>
    <row r="154">
      <c r="A154" s="17">
        <v>153</v>
      </c>
      <c r="B154" s="17" t="s">
        <v>351</v>
      </c>
      <c r="C154" s="17" t="s">
        <v>263</v>
      </c>
      <c r="D154" s="17" t="s">
        <v>352</v>
      </c>
      <c r="E154" s="17" t="s">
        <v>352</v>
      </c>
      <c r="F154" s="17">
        <v>-1250</v>
      </c>
      <c r="G154" s="17" t="s">
        <v>352</v>
      </c>
    </row>
    <row r="155">
      <c r="A155" s="17">
        <v>154</v>
      </c>
      <c r="B155" s="17" t="s">
        <v>353</v>
      </c>
      <c r="C155" s="17" t="s">
        <v>263</v>
      </c>
      <c r="D155" s="17">
        <v>40669679357</v>
      </c>
      <c r="E155" s="17" t="s">
        <v>360</v>
      </c>
      <c r="F155" s="17" t="s">
        <v>352</v>
      </c>
      <c r="G155" s="17">
        <v>-1250</v>
      </c>
    </row>
    <row r="156">
      <c r="A156" s="17">
        <v>155</v>
      </c>
      <c r="B156" s="17" t="s">
        <v>351</v>
      </c>
      <c r="C156" s="17" t="s">
        <v>265</v>
      </c>
      <c r="D156" s="17" t="s">
        <v>352</v>
      </c>
      <c r="E156" s="17" t="s">
        <v>352</v>
      </c>
      <c r="F156" s="17">
        <v>-1250</v>
      </c>
      <c r="G156" s="17" t="s">
        <v>352</v>
      </c>
    </row>
    <row r="157">
      <c r="A157" s="17">
        <v>156</v>
      </c>
      <c r="B157" s="17" t="s">
        <v>353</v>
      </c>
      <c r="C157" s="17" t="s">
        <v>265</v>
      </c>
      <c r="D157" s="17">
        <v>58005005751</v>
      </c>
      <c r="E157" s="17" t="s">
        <v>354</v>
      </c>
      <c r="F157" s="17" t="s">
        <v>352</v>
      </c>
      <c r="G157" s="17">
        <v>-1250</v>
      </c>
    </row>
    <row r="158">
      <c r="A158" s="17">
        <v>157</v>
      </c>
      <c r="B158" s="17" t="s">
        <v>351</v>
      </c>
      <c r="C158" s="17" t="s">
        <v>268</v>
      </c>
      <c r="D158" s="17" t="s">
        <v>352</v>
      </c>
      <c r="E158" s="17" t="s">
        <v>352</v>
      </c>
      <c r="F158" s="17">
        <v>-1250</v>
      </c>
      <c r="G158" s="17" t="s">
        <v>352</v>
      </c>
    </row>
    <row r="159">
      <c r="A159" s="17">
        <v>158</v>
      </c>
      <c r="B159" s="17" t="s">
        <v>353</v>
      </c>
      <c r="C159" s="17" t="s">
        <v>268</v>
      </c>
      <c r="D159" s="17">
        <v>42369673659</v>
      </c>
      <c r="E159" s="17" t="s">
        <v>356</v>
      </c>
      <c r="F159" s="17" t="s">
        <v>352</v>
      </c>
      <c r="G159" s="17">
        <v>-1250</v>
      </c>
    </row>
    <row r="160">
      <c r="A160" s="17">
        <v>159</v>
      </c>
      <c r="B160" s="17" t="s">
        <v>351</v>
      </c>
      <c r="C160" s="17" t="s">
        <v>270</v>
      </c>
      <c r="D160" s="17" t="s">
        <v>352</v>
      </c>
      <c r="E160" s="17" t="s">
        <v>352</v>
      </c>
      <c r="F160" s="17">
        <v>-1250</v>
      </c>
      <c r="G160" s="17" t="s">
        <v>352</v>
      </c>
    </row>
    <row r="161">
      <c r="A161" s="17">
        <v>160</v>
      </c>
      <c r="B161" s="17" t="s">
        <v>353</v>
      </c>
      <c r="C161" s="17" t="s">
        <v>270</v>
      </c>
      <c r="D161" s="17">
        <v>41121568677</v>
      </c>
      <c r="E161" s="17" t="s">
        <v>358</v>
      </c>
      <c r="F161" s="17" t="s">
        <v>352</v>
      </c>
      <c r="G161" s="17">
        <v>-1250</v>
      </c>
    </row>
    <row r="162">
      <c r="A162" s="17">
        <v>161</v>
      </c>
      <c r="B162" s="17" t="s">
        <v>351</v>
      </c>
      <c r="C162" s="17" t="s">
        <v>272</v>
      </c>
      <c r="D162" s="17" t="s">
        <v>352</v>
      </c>
      <c r="E162" s="17" t="s">
        <v>352</v>
      </c>
      <c r="F162" s="17">
        <v>-1250</v>
      </c>
      <c r="G162" s="17" t="s">
        <v>352</v>
      </c>
    </row>
    <row r="163">
      <c r="A163" s="17">
        <v>162</v>
      </c>
      <c r="B163" s="17" t="s">
        <v>353</v>
      </c>
      <c r="C163" s="17" t="s">
        <v>272</v>
      </c>
      <c r="D163" s="17">
        <v>40669679357</v>
      </c>
      <c r="E163" s="17" t="s">
        <v>360</v>
      </c>
      <c r="F163" s="17" t="s">
        <v>352</v>
      </c>
      <c r="G163" s="17">
        <v>-1250</v>
      </c>
    </row>
    <row r="164">
      <c r="A164" s="17">
        <v>163</v>
      </c>
      <c r="B164" s="17" t="s">
        <v>351</v>
      </c>
      <c r="C164" s="17" t="s">
        <v>275</v>
      </c>
      <c r="D164" s="17" t="s">
        <v>352</v>
      </c>
      <c r="E164" s="17" t="s">
        <v>352</v>
      </c>
      <c r="F164" s="17">
        <v>-1250</v>
      </c>
      <c r="G164" s="17" t="s">
        <v>352</v>
      </c>
    </row>
    <row r="165">
      <c r="A165" s="17">
        <v>164</v>
      </c>
      <c r="B165" s="17" t="s">
        <v>353</v>
      </c>
      <c r="C165" s="17" t="s">
        <v>275</v>
      </c>
      <c r="D165" s="17">
        <v>40669679357</v>
      </c>
      <c r="E165" s="17" t="s">
        <v>360</v>
      </c>
      <c r="F165" s="17" t="s">
        <v>352</v>
      </c>
      <c r="G165" s="17">
        <v>-1250</v>
      </c>
    </row>
    <row r="166">
      <c r="A166" s="17">
        <v>165</v>
      </c>
      <c r="B166" s="17" t="s">
        <v>351</v>
      </c>
      <c r="C166" s="17" t="s">
        <v>277</v>
      </c>
      <c r="D166" s="17" t="s">
        <v>352</v>
      </c>
      <c r="E166" s="17" t="s">
        <v>352</v>
      </c>
      <c r="F166" s="17">
        <v>-1250</v>
      </c>
      <c r="G166" s="17" t="s">
        <v>352</v>
      </c>
    </row>
    <row r="167">
      <c r="A167" s="17">
        <v>166</v>
      </c>
      <c r="B167" s="17" t="s">
        <v>353</v>
      </c>
      <c r="C167" s="17" t="s">
        <v>277</v>
      </c>
      <c r="D167" s="17">
        <v>46805480416</v>
      </c>
      <c r="E167" s="17" t="s">
        <v>365</v>
      </c>
      <c r="F167" s="17" t="s">
        <v>352</v>
      </c>
      <c r="G167" s="17">
        <v>-1250</v>
      </c>
    </row>
    <row r="168">
      <c r="A168" s="17">
        <v>167</v>
      </c>
      <c r="B168" s="17" t="s">
        <v>351</v>
      </c>
      <c r="C168" s="17" t="s">
        <v>279</v>
      </c>
      <c r="D168" s="17" t="s">
        <v>352</v>
      </c>
      <c r="E168" s="17" t="s">
        <v>352</v>
      </c>
      <c r="F168" s="17">
        <v>-1250</v>
      </c>
      <c r="G168" s="17" t="s">
        <v>352</v>
      </c>
    </row>
    <row r="169">
      <c r="A169" s="17">
        <v>168</v>
      </c>
      <c r="B169" s="17" t="s">
        <v>353</v>
      </c>
      <c r="C169" s="17" t="s">
        <v>279</v>
      </c>
      <c r="D169" s="17">
        <v>51155610791</v>
      </c>
      <c r="E169" s="17" t="s">
        <v>359</v>
      </c>
      <c r="F169" s="17" t="s">
        <v>352</v>
      </c>
      <c r="G169" s="17">
        <v>-1250</v>
      </c>
    </row>
    <row r="170">
      <c r="A170" s="17">
        <v>169</v>
      </c>
      <c r="B170" s="17" t="s">
        <v>351</v>
      </c>
      <c r="C170" s="17" t="s">
        <v>282</v>
      </c>
      <c r="D170" s="17" t="s">
        <v>352</v>
      </c>
      <c r="E170" s="17" t="s">
        <v>352</v>
      </c>
      <c r="F170" s="17">
        <v>-1250</v>
      </c>
      <c r="G170" s="17" t="s">
        <v>352</v>
      </c>
    </row>
    <row r="171">
      <c r="A171" s="17">
        <v>170</v>
      </c>
      <c r="B171" s="17" t="s">
        <v>353</v>
      </c>
      <c r="C171" s="17" t="s">
        <v>282</v>
      </c>
      <c r="D171" s="17">
        <v>40669679357</v>
      </c>
      <c r="E171" s="17" t="s">
        <v>360</v>
      </c>
      <c r="F171" s="17" t="s">
        <v>352</v>
      </c>
      <c r="G171" s="17">
        <v>-1250</v>
      </c>
    </row>
    <row r="172">
      <c r="A172" s="17">
        <v>171</v>
      </c>
      <c r="B172" s="17" t="s">
        <v>351</v>
      </c>
      <c r="C172" s="17" t="s">
        <v>284</v>
      </c>
      <c r="D172" s="17" t="s">
        <v>352</v>
      </c>
      <c r="E172" s="17" t="s">
        <v>352</v>
      </c>
      <c r="F172" s="17">
        <v>-1250</v>
      </c>
      <c r="G172" s="17" t="s">
        <v>352</v>
      </c>
    </row>
    <row r="173">
      <c r="A173" s="17">
        <v>172</v>
      </c>
      <c r="B173" s="17" t="s">
        <v>353</v>
      </c>
      <c r="C173" s="17" t="s">
        <v>284</v>
      </c>
      <c r="D173" s="17">
        <v>58005005751</v>
      </c>
      <c r="E173" s="17" t="s">
        <v>354</v>
      </c>
      <c r="F173" s="17" t="s">
        <v>352</v>
      </c>
      <c r="G173" s="17">
        <v>-1250</v>
      </c>
    </row>
    <row r="174">
      <c r="A174" s="17">
        <v>173</v>
      </c>
      <c r="B174" s="17" t="s">
        <v>351</v>
      </c>
      <c r="C174" s="17" t="s">
        <v>286</v>
      </c>
      <c r="D174" s="17" t="s">
        <v>352</v>
      </c>
      <c r="E174" s="17" t="s">
        <v>352</v>
      </c>
      <c r="F174" s="17">
        <v>-1250</v>
      </c>
      <c r="G174" s="17" t="s">
        <v>352</v>
      </c>
    </row>
    <row r="175">
      <c r="A175" s="17">
        <v>174</v>
      </c>
      <c r="B175" s="17" t="s">
        <v>353</v>
      </c>
      <c r="C175" s="17" t="s">
        <v>286</v>
      </c>
      <c r="D175" s="17">
        <v>58005005751</v>
      </c>
      <c r="E175" s="17" t="s">
        <v>354</v>
      </c>
      <c r="F175" s="17" t="s">
        <v>352</v>
      </c>
      <c r="G175" s="17">
        <v>-1250</v>
      </c>
    </row>
    <row r="176">
      <c r="A176" s="17">
        <v>175</v>
      </c>
      <c r="B176" s="17" t="s">
        <v>351</v>
      </c>
      <c r="C176" s="17" t="s">
        <v>288</v>
      </c>
      <c r="D176" s="17" t="s">
        <v>352</v>
      </c>
      <c r="E176" s="17" t="s">
        <v>352</v>
      </c>
      <c r="F176" s="17">
        <v>-1250</v>
      </c>
      <c r="G176" s="17" t="s">
        <v>352</v>
      </c>
    </row>
    <row r="177">
      <c r="A177" s="17">
        <v>176</v>
      </c>
      <c r="B177" s="17" t="s">
        <v>353</v>
      </c>
      <c r="C177" s="17" t="s">
        <v>288</v>
      </c>
      <c r="D177" s="17">
        <v>41121568677</v>
      </c>
      <c r="E177" s="17" t="s">
        <v>358</v>
      </c>
      <c r="F177" s="17" t="s">
        <v>352</v>
      </c>
      <c r="G177" s="17">
        <v>-1250</v>
      </c>
    </row>
    <row r="178">
      <c r="A178" s="17">
        <v>177</v>
      </c>
      <c r="B178" s="17" t="s">
        <v>351</v>
      </c>
      <c r="C178" s="17" t="s">
        <v>290</v>
      </c>
      <c r="D178" s="17" t="s">
        <v>352</v>
      </c>
      <c r="E178" s="17" t="s">
        <v>352</v>
      </c>
      <c r="F178" s="17">
        <v>-1250</v>
      </c>
      <c r="G178" s="17" t="s">
        <v>352</v>
      </c>
    </row>
    <row r="179">
      <c r="A179" s="17">
        <v>178</v>
      </c>
      <c r="B179" s="17" t="s">
        <v>353</v>
      </c>
      <c r="C179" s="17" t="s">
        <v>290</v>
      </c>
      <c r="D179" s="17">
        <v>58005005751</v>
      </c>
      <c r="E179" s="17" t="s">
        <v>354</v>
      </c>
      <c r="F179" s="17" t="s">
        <v>352</v>
      </c>
      <c r="G179" s="17">
        <v>-1250</v>
      </c>
    </row>
    <row r="180">
      <c r="A180" s="17">
        <v>179</v>
      </c>
      <c r="B180" s="17" t="s">
        <v>351</v>
      </c>
      <c r="C180" s="17" t="s">
        <v>294</v>
      </c>
      <c r="D180" s="17" t="s">
        <v>352</v>
      </c>
      <c r="E180" s="17" t="s">
        <v>352</v>
      </c>
      <c r="F180" s="17">
        <v>-1250</v>
      </c>
      <c r="G180" s="17" t="s">
        <v>352</v>
      </c>
    </row>
    <row r="181">
      <c r="A181" s="17">
        <v>180</v>
      </c>
      <c r="B181" s="17" t="s">
        <v>353</v>
      </c>
      <c r="C181" s="17" t="s">
        <v>294</v>
      </c>
      <c r="D181" s="17">
        <v>57905455660</v>
      </c>
      <c r="E181" s="17" t="s">
        <v>362</v>
      </c>
      <c r="F181" s="17" t="s">
        <v>352</v>
      </c>
      <c r="G181" s="17">
        <v>-1250</v>
      </c>
    </row>
    <row r="182">
      <c r="A182" s="17">
        <v>181</v>
      </c>
      <c r="B182" s="17" t="s">
        <v>351</v>
      </c>
      <c r="C182" s="17" t="s">
        <v>297</v>
      </c>
      <c r="D182" s="17" t="s">
        <v>352</v>
      </c>
      <c r="E182" s="17" t="s">
        <v>352</v>
      </c>
      <c r="F182" s="17">
        <v>-1250</v>
      </c>
      <c r="G182" s="17" t="s">
        <v>352</v>
      </c>
    </row>
    <row r="183">
      <c r="A183" s="17">
        <v>182</v>
      </c>
      <c r="B183" s="17" t="s">
        <v>353</v>
      </c>
      <c r="C183" s="17" t="s">
        <v>297</v>
      </c>
      <c r="D183" s="17">
        <v>44369634478</v>
      </c>
      <c r="E183" s="17" t="s">
        <v>357</v>
      </c>
      <c r="F183" s="17" t="s">
        <v>352</v>
      </c>
      <c r="G183" s="17">
        <v>-1148</v>
      </c>
    </row>
    <row r="184">
      <c r="A184" s="17">
        <v>183</v>
      </c>
      <c r="B184" s="17" t="s">
        <v>353</v>
      </c>
      <c r="C184" s="17" t="s">
        <v>297</v>
      </c>
      <c r="D184" s="17">
        <v>46805480416</v>
      </c>
      <c r="E184" s="17" t="s">
        <v>365</v>
      </c>
      <c r="F184" s="17" t="s">
        <v>352</v>
      </c>
      <c r="G184" s="17">
        <v>-83</v>
      </c>
    </row>
    <row r="185">
      <c r="A185" s="17">
        <v>184</v>
      </c>
      <c r="B185" s="17" t="s">
        <v>353</v>
      </c>
      <c r="C185" s="17" t="s">
        <v>297</v>
      </c>
      <c r="D185" s="17">
        <v>58005005751</v>
      </c>
      <c r="E185" s="17" t="s">
        <v>354</v>
      </c>
      <c r="F185" s="17" t="s">
        <v>352</v>
      </c>
      <c r="G185" s="17">
        <v>-19</v>
      </c>
    </row>
    <row r="186">
      <c r="A186" s="17">
        <v>185</v>
      </c>
      <c r="B186" s="17" t="s">
        <v>351</v>
      </c>
      <c r="C186" s="17" t="s">
        <v>299</v>
      </c>
      <c r="D186" s="17" t="s">
        <v>352</v>
      </c>
      <c r="E186" s="17" t="s">
        <v>352</v>
      </c>
      <c r="F186" s="17">
        <v>-1250</v>
      </c>
      <c r="G186" s="17" t="s">
        <v>352</v>
      </c>
    </row>
    <row r="187">
      <c r="A187" s="17">
        <v>186</v>
      </c>
      <c r="B187" s="17" t="s">
        <v>353</v>
      </c>
      <c r="C187" s="17" t="s">
        <v>299</v>
      </c>
      <c r="D187" s="17">
        <v>43519641327</v>
      </c>
      <c r="E187" s="17" t="s">
        <v>366</v>
      </c>
      <c r="F187" s="17" t="s">
        <v>352</v>
      </c>
      <c r="G187" s="17">
        <v>-1250</v>
      </c>
    </row>
    <row r="188">
      <c r="A188" s="17">
        <v>187</v>
      </c>
      <c r="B188" s="17" t="s">
        <v>351</v>
      </c>
      <c r="C188" s="17" t="s">
        <v>301</v>
      </c>
      <c r="D188" s="17" t="s">
        <v>352</v>
      </c>
      <c r="E188" s="17" t="s">
        <v>352</v>
      </c>
      <c r="F188" s="17">
        <v>-1250</v>
      </c>
      <c r="G188" s="17" t="s">
        <v>352</v>
      </c>
    </row>
    <row r="189">
      <c r="A189" s="17">
        <v>188</v>
      </c>
      <c r="B189" s="17" t="s">
        <v>353</v>
      </c>
      <c r="C189" s="17" t="s">
        <v>301</v>
      </c>
      <c r="D189" s="17">
        <v>40669679357</v>
      </c>
      <c r="E189" s="17" t="s">
        <v>360</v>
      </c>
      <c r="F189" s="17" t="s">
        <v>352</v>
      </c>
      <c r="G189" s="17">
        <v>-1250</v>
      </c>
    </row>
    <row r="190">
      <c r="A190" s="17">
        <v>189</v>
      </c>
      <c r="B190" s="17" t="s">
        <v>351</v>
      </c>
      <c r="C190" s="17" t="s">
        <v>303</v>
      </c>
      <c r="D190" s="17" t="s">
        <v>352</v>
      </c>
      <c r="E190" s="17" t="s">
        <v>352</v>
      </c>
      <c r="F190" s="17">
        <v>-1250</v>
      </c>
      <c r="G190" s="17" t="s">
        <v>352</v>
      </c>
    </row>
    <row r="191">
      <c r="A191" s="17">
        <v>190</v>
      </c>
      <c r="B191" s="17" t="s">
        <v>353</v>
      </c>
      <c r="C191" s="17" t="s">
        <v>303</v>
      </c>
      <c r="D191" s="17">
        <v>41121568677</v>
      </c>
      <c r="E191" s="17" t="s">
        <v>358</v>
      </c>
      <c r="F191" s="17" t="s">
        <v>352</v>
      </c>
      <c r="G191" s="17">
        <v>-1250</v>
      </c>
    </row>
    <row r="192">
      <c r="A192" s="17">
        <v>191</v>
      </c>
      <c r="B192" s="17" t="s">
        <v>351</v>
      </c>
      <c r="C192" s="17" t="s">
        <v>305</v>
      </c>
      <c r="D192" s="17" t="s">
        <v>352</v>
      </c>
      <c r="E192" s="17" t="s">
        <v>352</v>
      </c>
      <c r="F192" s="17">
        <v>-1250</v>
      </c>
      <c r="G192" s="17" t="s">
        <v>352</v>
      </c>
    </row>
    <row r="193">
      <c r="A193" s="17">
        <v>192</v>
      </c>
      <c r="B193" s="17" t="s">
        <v>353</v>
      </c>
      <c r="C193" s="17" t="s">
        <v>305</v>
      </c>
      <c r="D193" s="17">
        <v>41369860531</v>
      </c>
      <c r="E193" s="17" t="s">
        <v>367</v>
      </c>
      <c r="F193" s="17" t="s">
        <v>352</v>
      </c>
      <c r="G193" s="17">
        <v>-1250</v>
      </c>
    </row>
    <row r="194">
      <c r="A194" s="17">
        <v>193</v>
      </c>
      <c r="B194" s="17" t="s">
        <v>351</v>
      </c>
      <c r="C194" s="17" t="s">
        <v>307</v>
      </c>
      <c r="D194" s="17" t="s">
        <v>352</v>
      </c>
      <c r="E194" s="17" t="s">
        <v>352</v>
      </c>
      <c r="F194" s="17">
        <v>-1250</v>
      </c>
      <c r="G194" s="17" t="s">
        <v>352</v>
      </c>
    </row>
    <row r="195">
      <c r="A195" s="17">
        <v>194</v>
      </c>
      <c r="B195" s="17" t="s">
        <v>353</v>
      </c>
      <c r="C195" s="17" t="s">
        <v>307</v>
      </c>
      <c r="D195" s="17">
        <v>57905455660</v>
      </c>
      <c r="E195" s="17" t="s">
        <v>362</v>
      </c>
      <c r="F195" s="17" t="s">
        <v>352</v>
      </c>
      <c r="G195" s="17">
        <v>-1250</v>
      </c>
    </row>
    <row r="196">
      <c r="A196" s="17">
        <v>195</v>
      </c>
      <c r="B196" s="17" t="s">
        <v>351</v>
      </c>
      <c r="C196" s="17" t="s">
        <v>309</v>
      </c>
      <c r="D196" s="17" t="s">
        <v>352</v>
      </c>
      <c r="E196" s="17" t="s">
        <v>352</v>
      </c>
      <c r="F196" s="17">
        <v>-1250</v>
      </c>
      <c r="G196" s="17" t="s">
        <v>352</v>
      </c>
    </row>
    <row r="197">
      <c r="A197" s="17">
        <v>196</v>
      </c>
      <c r="B197" s="17" t="s">
        <v>353</v>
      </c>
      <c r="C197" s="17" t="s">
        <v>309</v>
      </c>
      <c r="D197" s="17">
        <v>51155610791</v>
      </c>
      <c r="E197" s="17" t="s">
        <v>359</v>
      </c>
      <c r="F197" s="17" t="s">
        <v>352</v>
      </c>
      <c r="G197" s="17">
        <v>-1250</v>
      </c>
    </row>
    <row r="198">
      <c r="A198" s="17">
        <v>197</v>
      </c>
      <c r="B198" s="17" t="s">
        <v>351</v>
      </c>
      <c r="C198" s="17" t="s">
        <v>311</v>
      </c>
      <c r="D198" s="17" t="s">
        <v>352</v>
      </c>
      <c r="E198" s="17" t="s">
        <v>352</v>
      </c>
      <c r="F198" s="17">
        <v>-1250</v>
      </c>
      <c r="G198" s="17" t="s">
        <v>352</v>
      </c>
    </row>
    <row r="199">
      <c r="A199" s="17">
        <v>198</v>
      </c>
      <c r="B199" s="17" t="s">
        <v>353</v>
      </c>
      <c r="C199" s="17" t="s">
        <v>311</v>
      </c>
      <c r="D199" s="17">
        <v>40669679357</v>
      </c>
      <c r="E199" s="17" t="s">
        <v>360</v>
      </c>
      <c r="F199" s="17" t="s">
        <v>352</v>
      </c>
      <c r="G199" s="17">
        <v>-1250</v>
      </c>
    </row>
    <row r="200">
      <c r="A200" s="17">
        <v>199</v>
      </c>
      <c r="B200" s="17" t="s">
        <v>351</v>
      </c>
      <c r="C200" s="17" t="s">
        <v>313</v>
      </c>
      <c r="D200" s="17" t="s">
        <v>352</v>
      </c>
      <c r="E200" s="17" t="s">
        <v>352</v>
      </c>
      <c r="F200" s="17">
        <v>-1250</v>
      </c>
      <c r="G200" s="17" t="s">
        <v>352</v>
      </c>
    </row>
    <row r="201">
      <c r="A201" s="17">
        <v>200</v>
      </c>
      <c r="B201" s="17" t="s">
        <v>353</v>
      </c>
      <c r="C201" s="17" t="s">
        <v>313</v>
      </c>
      <c r="D201" s="17">
        <v>40669679357</v>
      </c>
      <c r="E201" s="17" t="s">
        <v>360</v>
      </c>
      <c r="F201" s="17" t="s">
        <v>352</v>
      </c>
      <c r="G201" s="17">
        <v>-1250</v>
      </c>
    </row>
    <row r="202">
      <c r="A202" s="17">
        <v>201</v>
      </c>
      <c r="B202" s="17" t="s">
        <v>351</v>
      </c>
      <c r="C202" s="17" t="s">
        <v>315</v>
      </c>
      <c r="D202" s="17" t="s">
        <v>352</v>
      </c>
      <c r="E202" s="17" t="s">
        <v>352</v>
      </c>
      <c r="F202" s="17">
        <v>-1250</v>
      </c>
      <c r="G202" s="17" t="s">
        <v>352</v>
      </c>
    </row>
    <row r="203">
      <c r="A203" s="17">
        <v>202</v>
      </c>
      <c r="B203" s="17" t="s">
        <v>353</v>
      </c>
      <c r="C203" s="17" t="s">
        <v>315</v>
      </c>
      <c r="D203" s="17">
        <v>57905455660</v>
      </c>
      <c r="E203" s="17" t="s">
        <v>362</v>
      </c>
      <c r="F203" s="17" t="s">
        <v>352</v>
      </c>
      <c r="G203" s="17">
        <v>-1250</v>
      </c>
    </row>
    <row r="204">
      <c r="A204" s="17">
        <v>203</v>
      </c>
      <c r="B204" s="17" t="s">
        <v>351</v>
      </c>
      <c r="C204" s="17" t="s">
        <v>317</v>
      </c>
      <c r="D204" s="17" t="s">
        <v>352</v>
      </c>
      <c r="E204" s="17" t="s">
        <v>352</v>
      </c>
      <c r="F204" s="17">
        <v>-1250</v>
      </c>
      <c r="G204" s="17" t="s">
        <v>352</v>
      </c>
    </row>
    <row r="205">
      <c r="A205" s="17">
        <v>204</v>
      </c>
      <c r="B205" s="17" t="s">
        <v>353</v>
      </c>
      <c r="C205" s="17" t="s">
        <v>317</v>
      </c>
      <c r="D205" s="17">
        <v>46805480416</v>
      </c>
      <c r="E205" s="17" t="s">
        <v>365</v>
      </c>
      <c r="F205" s="17" t="s">
        <v>352</v>
      </c>
      <c r="G205" s="17">
        <v>-1250</v>
      </c>
    </row>
    <row r="206">
      <c r="A206" s="17">
        <v>205</v>
      </c>
      <c r="B206" s="17" t="s">
        <v>351</v>
      </c>
      <c r="C206" s="17" t="s">
        <v>319</v>
      </c>
      <c r="D206" s="17" t="s">
        <v>352</v>
      </c>
      <c r="E206" s="17" t="s">
        <v>352</v>
      </c>
      <c r="F206" s="17">
        <v>-1250</v>
      </c>
      <c r="G206" s="17" t="s">
        <v>352</v>
      </c>
    </row>
    <row r="207">
      <c r="A207" s="17">
        <v>206</v>
      </c>
      <c r="B207" s="17" t="s">
        <v>353</v>
      </c>
      <c r="C207" s="17" t="s">
        <v>319</v>
      </c>
      <c r="D207" s="17">
        <v>42369673659</v>
      </c>
      <c r="E207" s="17" t="s">
        <v>356</v>
      </c>
      <c r="F207" s="17" t="s">
        <v>352</v>
      </c>
      <c r="G207" s="17">
        <v>-1250</v>
      </c>
    </row>
    <row r="208">
      <c r="A208" s="17">
        <v>207</v>
      </c>
      <c r="B208" s="17" t="s">
        <v>351</v>
      </c>
      <c r="C208" s="17" t="s">
        <v>321</v>
      </c>
      <c r="D208" s="17" t="s">
        <v>352</v>
      </c>
      <c r="E208" s="17" t="s">
        <v>352</v>
      </c>
      <c r="F208" s="17">
        <v>-1250</v>
      </c>
      <c r="G208" s="17" t="s">
        <v>352</v>
      </c>
    </row>
    <row r="209">
      <c r="A209" s="17">
        <v>208</v>
      </c>
      <c r="B209" s="17" t="s">
        <v>353</v>
      </c>
      <c r="C209" s="17" t="s">
        <v>321</v>
      </c>
      <c r="D209" s="17">
        <v>41121568677</v>
      </c>
      <c r="E209" s="17" t="s">
        <v>358</v>
      </c>
      <c r="F209" s="17" t="s">
        <v>352</v>
      </c>
      <c r="G209" s="17">
        <v>-1250</v>
      </c>
    </row>
    <row r="210">
      <c r="A210" s="17">
        <v>209</v>
      </c>
      <c r="B210" s="17" t="s">
        <v>351</v>
      </c>
      <c r="C210" s="17" t="s">
        <v>323</v>
      </c>
      <c r="D210" s="17" t="s">
        <v>352</v>
      </c>
      <c r="E210" s="17" t="s">
        <v>352</v>
      </c>
      <c r="F210" s="17">
        <v>-1250</v>
      </c>
      <c r="G210" s="17" t="s">
        <v>352</v>
      </c>
    </row>
    <row r="211">
      <c r="A211" s="17">
        <v>210</v>
      </c>
      <c r="B211" s="17" t="s">
        <v>353</v>
      </c>
      <c r="C211" s="17" t="s">
        <v>323</v>
      </c>
      <c r="D211" s="17">
        <v>57905455660</v>
      </c>
      <c r="E211" s="17" t="s">
        <v>362</v>
      </c>
      <c r="F211" s="17" t="s">
        <v>352</v>
      </c>
      <c r="G211" s="17">
        <v>-1250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